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Projecao 24 Meses" sheetId="3" state="visible" r:id="rId5"/>
    <sheet name="Unit Economics" sheetId="4" state="visible" r:id="rId6"/>
    <sheet name="Investimento Inicial" sheetId="5" state="visible" r:id="rId7"/>
    <sheet name="Comparativo de Capitais" sheetId="6" state="visible" r:id="rId8"/>
    <sheet name="Payback e Franqu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Tamanho do piloto manual sugerido na seção 13 do plano (Fase 0)</t>
        </r>
      </text>
    </comment>
    <comment ref="B24" authorId="0">
      <text>
        <r>
          <rPr>
            <sz val="10"/>
            <rFont val="Arial"/>
            <family val="2"/>
          </rPr>
          <t xml:space="preserve">Ritmo acelera após MVP tecnológico completo (Fase 2 do roadmap)</t>
        </r>
      </text>
    </comment>
    <comment ref="B25" authorId="0">
      <text>
        <r>
          <rPr>
            <sz val="10"/>
            <rFont val="Arial"/>
            <family val="2"/>
          </rPr>
          <t xml:space="preserve">Dentro da faixa saudável &lt;10% descrita na seção 11.3 do plano</t>
        </r>
      </text>
    </comment>
    <comment ref="B26" authorId="0">
      <text>
        <r>
          <rPr>
            <sz val="10"/>
            <rFont val="Arial"/>
            <family val="2"/>
          </rPr>
          <t xml:space="preserve">Ponto médio da faixa R$80-200 (seção 11.3) — mix de indicação + mídia paga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Estimativa: aluguel/energia da câmara fria, folha da equipe operacional base e admin fixo — refinar com cotação real do CD escolhido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Maior peso — é o gargalo estrutural do modelo (seção 10, risco de dependência de fornecedores)</t>
        </r>
      </text>
    </comment>
    <comment ref="D15" authorId="0">
      <text>
        <r>
          <rPr>
            <sz val="10"/>
            <rFont val="Arial"/>
            <family val="2"/>
          </rPr>
          <t xml:space="preserve">Estimativa preliminar — o levantamento da pesquisa não trouxe o número exato de produtores certificados para este estado (gap sinalizado na seção 2.4 do plano). Validar no CNPO antes de decidir (metodologia na seção 4.1.1).</t>
        </r>
      </text>
    </comment>
    <comment ref="D16" authorId="0">
      <text>
        <r>
          <rPr>
            <sz val="10"/>
            <rFont val="Arial"/>
            <family val="2"/>
          </rPr>
          <t xml:space="preserve">Estimativa preliminar — o levantamento da pesquisa não trouxe o número exato de produtores certificados para este estado (gap sinalizado na seção 2.4 do plano). Validar no CNPO antes de decidir (metodologia na seção 4.1.1).</t>
        </r>
      </text>
    </comment>
    <comment ref="D17" authorId="0">
      <text>
        <r>
          <rPr>
            <sz val="10"/>
            <rFont val="Arial"/>
            <family val="2"/>
          </rPr>
          <t xml:space="preserve">Estimativa preliminar — o levantamento da pesquisa não trouxe o número exato de produtores certificados para este estado (gap sinalizado na seção 2.4 do plano). Validar no CNPO antes de decidir (metodologia na seção 4.1.1).</t>
        </r>
      </text>
    </comment>
    <comment ref="E13" authorId="0">
      <text>
        <r>
          <rPr>
            <sz val="10"/>
            <rFont val="Arial"/>
            <family val="2"/>
          </rPr>
          <t xml:space="preserve">Penetração regional (Sul/Sudeste/Centro-Oeste) conforme dado por macrorregião do IBGE/Organis citado na seção 2.1 — não há quebra por estado individual na pesquisa disponível.</t>
        </r>
      </text>
    </comment>
    <comment ref="E14" authorId="0">
      <text>
        <r>
          <rPr>
            <sz val="10"/>
            <rFont val="Arial"/>
            <family val="2"/>
          </rPr>
          <t xml:space="preserve">Penetração regional (Sul/Sudeste/Centro-Oeste) conforme dado por macrorregião do IBGE/Organis citado na seção 2.1 — não há quebra por estado individual na pesquisa disponível.</t>
        </r>
      </text>
    </comment>
    <comment ref="E15" authorId="0">
      <text>
        <r>
          <rPr>
            <sz val="10"/>
            <rFont val="Arial"/>
            <family val="2"/>
          </rPr>
          <t xml:space="preserve">Penetração regional (Sul/Sudeste/Centro-Oeste) conforme dado por macrorregião do IBGE/Organis citado na seção 2.1 — não há quebra por estado individual na pesquisa disponível.</t>
        </r>
      </text>
    </comment>
    <comment ref="E16" authorId="0">
      <text>
        <r>
          <rPr>
            <sz val="10"/>
            <rFont val="Arial"/>
            <family val="2"/>
          </rPr>
          <t xml:space="preserve">Penetração regional (Sul/Sudeste/Centro-Oeste) conforme dado por macrorregião do IBGE/Organis citado na seção 2.1 — não há quebra por estado individual na pesquisa disponível.</t>
        </r>
      </text>
    </comment>
    <comment ref="E17" authorId="0">
      <text>
        <r>
          <rPr>
            <sz val="10"/>
            <rFont val="Arial"/>
            <family val="2"/>
          </rPr>
          <t xml:space="preserve">Penetração regional (Sul/Sudeste/Centro-Oeste) conforme dado por macrorregião do IBGE/Organis citado na seção 2.1 — não há quebra por estado individual na pesquisa disponível.</t>
        </r>
      </text>
    </comment>
    <comment ref="F13" authorId="0">
      <text>
        <r>
          <rPr>
            <sz val="10"/>
            <rFont val="Arial"/>
            <family val="2"/>
          </rPr>
          <t xml:space="preserve">1.0 = nenhum concorrente nacional mapeado; 0.3 = concorrente direto identificado já operando na praça (ver seção 2.3)</t>
        </r>
      </text>
    </comment>
    <comment ref="F14" authorId="0">
      <text>
        <r>
          <rPr>
            <sz val="10"/>
            <rFont val="Arial"/>
            <family val="2"/>
          </rPr>
          <t xml:space="preserve">1.0 = nenhum concorrente nacional mapeado; 0.3 = concorrente direto identificado já operando na praça (ver seção 2.3)</t>
        </r>
      </text>
    </comment>
    <comment ref="F15" authorId="0">
      <text>
        <r>
          <rPr>
            <sz val="10"/>
            <rFont val="Arial"/>
            <family val="2"/>
          </rPr>
          <t xml:space="preserve">1.0 = nenhum concorrente nacional mapeado; 0.3 = concorrente direto identificado já operando na praça (ver seção 2.3)</t>
        </r>
      </text>
    </comment>
    <comment ref="F16" authorId="0">
      <text>
        <r>
          <rPr>
            <sz val="10"/>
            <rFont val="Arial"/>
            <family val="2"/>
          </rPr>
          <t xml:space="preserve">1.0 = nenhum concorrente nacional mapeado; 0.3 = concorrente direto identificado já operando na praça (ver seção 2.3)</t>
        </r>
      </text>
    </comment>
    <comment ref="F17" authorId="0">
      <text>
        <r>
          <rPr>
            <sz val="10"/>
            <rFont val="Arial"/>
            <family val="2"/>
          </rPr>
          <t xml:space="preserve">1.0 = nenhum concorrente nacional mapeado; 0.3 = concorrente direto identificado já operando na praça (ver seção 2.3)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Ponto médio da faixa R$40k-80k (plano de negócios, seção 12.5)</t>
        </r>
      </text>
    </comment>
    <comment ref="B5" authorId="0">
      <text>
        <r>
          <rPr>
            <sz val="10"/>
            <rFont val="Arial"/>
            <family val="2"/>
          </rPr>
          <t xml:space="preserve">Faixa típica de mercado no Brasil: 4-8%</t>
        </r>
      </text>
    </comment>
    <comment ref="B35" authorId="0">
      <text>
        <r>
          <rPr>
            <sz val="10"/>
            <rFont val="Arial"/>
            <family val="2"/>
          </rPr>
          <t xml:space="preserve">Mês (inteiro) em que o EBITDA acumulado ultrapassa o investimento</t>
        </r>
      </text>
    </comment>
    <comment ref="B36" authorId="0">
      <text>
        <r>
          <rPr>
            <sz val="10"/>
            <rFont val="Arial"/>
            <family val="2"/>
          </rPr>
          <t xml:space="preserve">Mês (inteiro) em que o EBITDA acumulado ultrapassa o investimento</t>
        </r>
      </text>
    </comment>
    <comment ref="B37" authorId="0">
      <text>
        <r>
          <rPr>
            <sz val="10"/>
            <rFont val="Arial"/>
            <family val="2"/>
          </rPr>
          <t xml:space="preserve">Mês (inteiro) em que o EBITDA acumulado ultrapassa o investimento</t>
        </r>
      </text>
    </comment>
    <comment ref="B38" authorId="0">
      <text>
        <r>
          <rPr>
            <sz val="10"/>
            <rFont val="Arial"/>
            <family val="2"/>
          </rPr>
          <t xml:space="preserve">Mês (inteiro) em que o EBITDA acumulado ultrapassa o investimento</t>
        </r>
      </text>
    </comment>
  </commentList>
</comments>
</file>

<file path=xl/sharedStrings.xml><?xml version="1.0" encoding="utf-8"?>
<sst xmlns="http://schemas.openxmlformats.org/spreadsheetml/2006/main" count="151" uniqueCount="149">
  <si>
    <t xml:space="preserve">Clube.org — Modelo Financeiro (Praça-piloto: Curitiba)</t>
  </si>
  <si>
    <t xml:space="preserve">Como usar este arquivo</t>
  </si>
  <si>
    <t xml:space="preserve">- Células em AZUL sobre fundo AMARELO são premissas editáveis (inputs). Todo o resto é fórmula — muda automaticamente.</t>
  </si>
  <si>
    <t xml:space="preserve">- Aba 'Premissas': parâmetros de ticket, mix de planos, custos (% de receita) e ritmo de aquisição/churn.</t>
  </si>
  <si>
    <t xml:space="preserve">- Aba 'Projeção 24 Meses': P&amp;L mensal derivado 100% das premissas (assinantes, receita, custos, EBITDA).</t>
  </si>
  <si>
    <t xml:space="preserve">- Aba 'Unit Economics': CAC, LTV, payback e ponto de equilíbrio, calculados a partir das mesmas premissas.</t>
  </si>
  <si>
    <t xml:space="preserve">- Aba 'Investimento Inicial': capex e capital de giro pré-operacional, com fontes/observações por linha.</t>
  </si>
  <si>
    <t xml:space="preserve">- Aba 'Comparativo de Capitais': matriz de decisão com pesos ajustáveis para a escolha da praça-piloto e ordem de expansão.</t>
  </si>
  <si>
    <t xml:space="preserve">Os valores de mercado (renda per capita, população, produtores certificados) vêm de pesquisa pública</t>
  </si>
  <si>
    <t xml:space="preserve">(IBGE/PNAD Contínua 2025, MAPA/CNPO, Organis, IMARC Group) — ver PLANO_DE_NEGOCIOS.md, seção 2.5, para as fontes completas.</t>
  </si>
  <si>
    <t xml:space="preserve">Os parâmetros operacionais (ticket, churn, CAC, custos) são estimativas de dimensionamento inicial, com faixas de mercado do setor de</t>
  </si>
  <si>
    <t xml:space="preserve">assinatura de alimentos frescos — ajuste-os conforme dados reais do piloto forem chegando (ver seção 11 do plano de negócios).</t>
  </si>
  <si>
    <t xml:space="preserve">Premissas do Modelo — Praça-piloto</t>
  </si>
  <si>
    <t xml:space="preserve">Planos e Ticket</t>
  </si>
  <si>
    <t xml:space="preserve">Plano</t>
  </si>
  <si>
    <t xml:space="preserve">Ticket semanal (R$)</t>
  </si>
  <si>
    <t xml:space="preserve">Mix (%)</t>
  </si>
  <si>
    <t xml:space="preserve">Solo</t>
  </si>
  <si>
    <t xml:space="preserve">Família</t>
  </si>
  <si>
    <t xml:space="preserve">Família +</t>
  </si>
  <si>
    <t xml:space="preserve">Soma do mix (deve ser 100%)</t>
  </si>
  <si>
    <t xml:space="preserve">Ticket médio ponderado / semana (R$)</t>
  </si>
  <si>
    <t xml:space="preserve">Semanas por mês (média)</t>
  </si>
  <si>
    <t xml:space="preserve">Ticket médio ponderado / mês (R$)</t>
  </si>
  <si>
    <t xml:space="preserve">Estrutura de Custo (% da receita)</t>
  </si>
  <si>
    <t xml:space="preserve">Custo de produto (pagamento a fornecedores)</t>
  </si>
  <si>
    <t xml:space="preserve">Ponto médio da faixa 40-48% (seção 11.2 do plano)</t>
  </si>
  <si>
    <t xml:space="preserve">Operação do CD (equipe, embalagem, energia)</t>
  </si>
  <si>
    <t xml:space="preserve">Ponto médio da faixa 12-16%</t>
  </si>
  <si>
    <t xml:space="preserve">Logística / última milha</t>
  </si>
  <si>
    <t xml:space="preserve">Ponto médio da faixa 10-15%</t>
  </si>
  <si>
    <t xml:space="preserve">Tecnologia (plataformas, manutenção)</t>
  </si>
  <si>
    <t xml:space="preserve">Ponto médio da faixa 3-6%</t>
  </si>
  <si>
    <t xml:space="preserve">Administrativo / geral</t>
  </si>
  <si>
    <t xml:space="preserve">Ponto médio da faixa 5-8%</t>
  </si>
  <si>
    <t xml:space="preserve">Aquisição, Churn e Ramp de Assinantes</t>
  </si>
  <si>
    <t xml:space="preserve">Assinantes ativos no Mês 1 (início do piloto)</t>
  </si>
  <si>
    <t xml:space="preserve">Novos assinantes brutos / mês (Meses 1-6)</t>
  </si>
  <si>
    <t xml:space="preserve">Novos assinantes brutos / mês (Meses 7-24)</t>
  </si>
  <si>
    <t xml:space="preserve">Churn mensal (%)</t>
  </si>
  <si>
    <t xml:space="preserve">CAC médio por novo assinante (R$)</t>
  </si>
  <si>
    <t xml:space="preserve">Projeção Financeira 24 Meses — Praça-piloto (Curitiba)</t>
  </si>
  <si>
    <t xml:space="preserve">Todas as células desta aba são fórmulas derivadas da aba Premissas — não há números digitados aqui.</t>
  </si>
  <si>
    <t xml:space="preserve">Mês</t>
  </si>
  <si>
    <t xml:space="preserve">Assinantes
início</t>
  </si>
  <si>
    <t xml:space="preserve">Novos
assinantes</t>
  </si>
  <si>
    <t xml:space="preserve">Cancelamentos
(churn)</t>
  </si>
  <si>
    <t xml:space="preserve">Assinantes
fim</t>
  </si>
  <si>
    <t xml:space="preserve">Receita</t>
  </si>
  <si>
    <t xml:space="preserve">Custo
produto</t>
  </si>
  <si>
    <t xml:space="preserve">Custo
CD</t>
  </si>
  <si>
    <t xml:space="preserve">Logística</t>
  </si>
  <si>
    <t xml:space="preserve">Marketing
(CAC)</t>
  </si>
  <si>
    <t xml:space="preserve">Tecnologia</t>
  </si>
  <si>
    <t xml:space="preserve">Admin</t>
  </si>
  <si>
    <t xml:space="preserve">Total
custos</t>
  </si>
  <si>
    <t xml:space="preserve">EBITDA</t>
  </si>
  <si>
    <t xml:space="preserve">Margem
EBITDA</t>
  </si>
  <si>
    <t xml:space="preserve">EBITDA
Acumulado</t>
  </si>
  <si>
    <t xml:space="preserve">Total Ano 1 (Meses 1-12)</t>
  </si>
  <si>
    <t xml:space="preserve">Total Ano 2 (Meses 13-24)</t>
  </si>
  <si>
    <t xml:space="preserve">1º mês com EBITDA positivo:</t>
  </si>
  <si>
    <t xml:space="preserve">Unit Economics — Praça-piloto</t>
  </si>
  <si>
    <t xml:space="preserve">Margem de Contribuição</t>
  </si>
  <si>
    <t xml:space="preserve">Margem de contribuição (%) [1 - produto - CD - logística]</t>
  </si>
  <si>
    <t xml:space="preserve">Exclui tecnologia/admin, tratados como custo mais fixo/overhead nesta análise de unidade</t>
  </si>
  <si>
    <t xml:space="preserve">Margem de contribuição por assinante / mês (R$)</t>
  </si>
  <si>
    <t xml:space="preserve">LTV, CAC e Payback</t>
  </si>
  <si>
    <t xml:space="preserve">LTV (valor vitalício por assinante, R$)</t>
  </si>
  <si>
    <t xml:space="preserve">LTV = margem de contribuição mensal / churn mensal</t>
  </si>
  <si>
    <t xml:space="preserve">CAC (R$)</t>
  </si>
  <si>
    <t xml:space="preserve">Razão LTV / CAC</t>
  </si>
  <si>
    <t xml:space="preserve">Referência de mercado: &gt;3x é considerado saudável para negócios de assinatura</t>
  </si>
  <si>
    <t xml:space="preserve">Payback do CAC (meses)</t>
  </si>
  <si>
    <t xml:space="preserve">Vida útil média do assinante (meses)</t>
  </si>
  <si>
    <t xml:space="preserve">Ponto de Equilíbrio (breakeven)</t>
  </si>
  <si>
    <t xml:space="preserve">Custos fixos mensais estimados do CD + time base (R$)</t>
  </si>
  <si>
    <t xml:space="preserve">Assinantes necessários para cobrir custo fixo (breakeven)</t>
  </si>
  <si>
    <t xml:space="preserve">Assinantes ativos = custo fixo mensal / margem de contribuição por assinante</t>
  </si>
  <si>
    <t xml:space="preserve">Investimento Inicial (Pré-operacional) — Praça-piloto</t>
  </si>
  <si>
    <t xml:space="preserve">Item</t>
  </si>
  <si>
    <t xml:space="preserve">Estimativa mínima (R$)</t>
  </si>
  <si>
    <t xml:space="preserve">Estimativa máxima (R$)</t>
  </si>
  <si>
    <t xml:space="preserve">Observação</t>
  </si>
  <si>
    <t xml:space="preserve">Estruturação do CD (câmara fria, bancadas, balanças, embalagens)</t>
  </si>
  <si>
    <t xml:space="preserve">Depende do tamanho do CD e de comprar vs. alugar equipamento</t>
  </si>
  <si>
    <t xml:space="preserve">Veículo(s) refrigerado(s)</t>
  </si>
  <si>
    <t xml:space="preserve">Compra ou entrada de leasing; pode ser reduzido terceirizando 100% no piloto</t>
  </si>
  <si>
    <t xml:space="preserve">Site + loja online (setup em plataforma)</t>
  </si>
  <si>
    <t xml:space="preserve">Plataforma pronta (ex.: Shopify + apps de assinatura) recomendada no MVP</t>
  </si>
  <si>
    <t xml:space="preserve">App/portal fornecedor + cliente (MVP low-code)</t>
  </si>
  <si>
    <t xml:space="preserve">Evitar desenvolvimento proprietário caro antes de validar retenção</t>
  </si>
  <si>
    <t xml:space="preserve">Marca, identidade visual, conteúdo inicial</t>
  </si>
  <si>
    <t xml:space="preserve">Licenças, certificações, jurídico/contratos</t>
  </si>
  <si>
    <t xml:space="preserve">Inclui licença sanitária do CD e contratos-padrão com fornecedores</t>
  </si>
  <si>
    <t xml:space="preserve">Capital de giro (2-3 ciclos de pagamento a fornecedores)</t>
  </si>
  <si>
    <t xml:space="preserve">Fornecedores pequenos exigem prazo de pagamento curto (seção 4.1 do plano)</t>
  </si>
  <si>
    <t xml:space="preserve">Subtotal</t>
  </si>
  <si>
    <t xml:space="preserve">Reserva de contingência (%)</t>
  </si>
  <si>
    <t xml:space="preserve">Reserva de contingência (R$)</t>
  </si>
  <si>
    <t xml:space="preserve">TOTAL ESTIMADO</t>
  </si>
  <si>
    <t xml:space="preserve">Matriz de Decisão — Escolha da Praça-piloto e Ordem de Expansão</t>
  </si>
  <si>
    <t xml:space="preserve">Dados brutos vêm da pesquisa de mercado (seção 2.4/2.5 do plano). Pesos e scores de concorrência são premissas editáveis (azul/amarelo).</t>
  </si>
  <si>
    <t xml:space="preserve">Pesos dos critérios (devem somar 100%)</t>
  </si>
  <si>
    <t xml:space="preserve">Peso: População (tamanho de mercado)</t>
  </si>
  <si>
    <t xml:space="preserve">Peso: Renda per capita (poder de compra)</t>
  </si>
  <si>
    <t xml:space="preserve">Peso: Produtores certificados (densidade de fornecimento)</t>
  </si>
  <si>
    <t xml:space="preserve">Peso: Penetração regional de orgânicos</t>
  </si>
  <si>
    <t xml:space="preserve">Peso: Ausência de concorrência direta</t>
  </si>
  <si>
    <t xml:space="preserve">Soma dos pesos (deve ser 100%)</t>
  </si>
  <si>
    <t xml:space="preserve">Capital</t>
  </si>
  <si>
    <t xml:space="preserve">População
(milhões)</t>
  </si>
  <si>
    <t xml:space="preserve">Renda per capita
do estado (R$)</t>
  </si>
  <si>
    <t xml:space="preserve">Produtores
certificados (estado)</t>
  </si>
  <si>
    <t xml:space="preserve">Penetração
regional (%)</t>
  </si>
  <si>
    <t xml:space="preserve">Ausência de
concorrência (0-1)</t>
  </si>
  <si>
    <t xml:space="preserve">Score
População</t>
  </si>
  <si>
    <t xml:space="preserve">Score
Renda</t>
  </si>
  <si>
    <t xml:space="preserve">Score
Produtores</t>
  </si>
  <si>
    <t xml:space="preserve">Score
Penetração</t>
  </si>
  <si>
    <t xml:space="preserve">Score
Concorrência</t>
  </si>
  <si>
    <t xml:space="preserve">SCORE
PONDERADO</t>
  </si>
  <si>
    <t xml:space="preserve">Ranking</t>
  </si>
  <si>
    <t xml:space="preserve">Curitiba (PR)</t>
  </si>
  <si>
    <t xml:space="preserve">Porto Alegre (RS)</t>
  </si>
  <si>
    <t xml:space="preserve">Brasília (DF)</t>
  </si>
  <si>
    <t xml:space="preserve">São Paulo (SP)</t>
  </si>
  <si>
    <t xml:space="preserve">Florianópolis (SC)</t>
  </si>
  <si>
    <t xml:space="preserve">Payback do Investimento e Economia de Franquia</t>
  </si>
  <si>
    <t xml:space="preserve">Premissas de Franquia</t>
  </si>
  <si>
    <t xml:space="preserve">Taxa de franquia inicial (R$)</t>
  </si>
  <si>
    <t xml:space="preserve">Royalty mensal (% da receita bruta)</t>
  </si>
  <si>
    <t xml:space="preserve">Fundo de marketing (% da receita bruta)</t>
  </si>
  <si>
    <t xml:space="preserve">EBITDA
(matriz opera)</t>
  </si>
  <si>
    <t xml:space="preserve">EBITDA acum.
(matriz opera)</t>
  </si>
  <si>
    <t xml:space="preserve">Royalty +
Fundo mkt</t>
  </si>
  <si>
    <t xml:space="preserve">EBITDA
(franqueado)</t>
  </si>
  <si>
    <t xml:space="preserve">EBITDA acum.
(franqueado)</t>
  </si>
  <si>
    <t xml:space="preserve">Payback do Investimento (interpolado, em meses)</t>
  </si>
  <si>
    <t xml:space="preserve">Payback matriz — investimento R$275k (piso)</t>
  </si>
  <si>
    <t xml:space="preserve">Payback matriz — investimento R$580k (teto)</t>
  </si>
  <si>
    <t xml:space="preserve">Payback franqueado — investimento R$275k (piso)</t>
  </si>
  <si>
    <t xml:space="preserve">Payback franqueado — investimento R$580k (teto)</t>
  </si>
  <si>
    <t xml:space="preserve">(Coluna B = mês inteiro em que o acumulado cruza o investimento; Coluna C = payback interpolado, em meses fracionários)</t>
  </si>
  <si>
    <t xml:space="preserve">Receita da Franqueadora por Unidade Franqueada</t>
  </si>
  <si>
    <t xml:space="preserve">Taxa de franquia inicial (one-off)</t>
  </si>
  <si>
    <t xml:space="preserve">Royalty + fundo de marketing no mês 12 (R$/mês)</t>
  </si>
  <si>
    <t xml:space="preserve">Royalty + fundo de marketing no mês 24 (R$/mês)</t>
  </si>
  <si>
    <t xml:space="preserve">Receita acumulada da franqueadora nos 24 meses (taxa + royalty + fundo)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</si>
</sst>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0.00"/>
    <numFmt numFmtId="168" formatCode="#,##0;\(#,##0\);\-"/>
    <numFmt numFmtId="169" formatCode="\$#,##0;&quot;($&quot;#,##0\);\-"/>
    <numFmt numFmtId="170" formatCode="0.00\x"/>
    <numFmt numFmtId="171" formatCode="#,##0.00;\(#,##0.00\);\-"/>
    <numFmt numFmtId="172" formatCode="0.0%;\(0.0%\);\-"/>
    <numFmt numFmtId="173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7D32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i val="true"/>
      <sz val="9"/>
      <color rgb="FF5B6B5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8E6C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5E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0"/>
  </cols>
  <sheetData>
    <row r="1" customFormat="false" ht="21.7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6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5" t="s">
        <v>12</v>
      </c>
    </row>
    <row r="3" customFormat="false" ht="21.75" hidden="false" customHeight="true" outlineLevel="0" collapsed="false">
      <c r="A3" s="6" t="s">
        <v>13</v>
      </c>
      <c r="B3" s="6"/>
      <c r="C3" s="6"/>
      <c r="D3" s="6"/>
    </row>
    <row r="4" customFormat="false" ht="15" hidden="false" customHeight="true" outlineLevel="0" collapsed="false">
      <c r="A4" s="7" t="s">
        <v>14</v>
      </c>
      <c r="B4" s="7" t="s">
        <v>15</v>
      </c>
      <c r="C4" s="7" t="s">
        <v>16</v>
      </c>
    </row>
    <row r="5" customFormat="false" ht="15" hidden="false" customHeight="true" outlineLevel="0" collapsed="false">
      <c r="A5" s="8" t="s">
        <v>17</v>
      </c>
      <c r="B5" s="9" t="n">
        <v>79</v>
      </c>
      <c r="C5" s="10" t="n">
        <v>0.35</v>
      </c>
    </row>
    <row r="6" customFormat="false" ht="15" hidden="false" customHeight="true" outlineLevel="0" collapsed="false">
      <c r="A6" s="8" t="s">
        <v>18</v>
      </c>
      <c r="B6" s="9" t="n">
        <v>134</v>
      </c>
      <c r="C6" s="10" t="n">
        <v>0.45</v>
      </c>
    </row>
    <row r="7" customFormat="false" ht="15" hidden="false" customHeight="true" outlineLevel="0" collapsed="false">
      <c r="A7" s="8" t="s">
        <v>19</v>
      </c>
      <c r="B7" s="9" t="n">
        <v>184</v>
      </c>
      <c r="C7" s="10" t="n">
        <v>0.2</v>
      </c>
    </row>
    <row r="8" customFormat="false" ht="15" hidden="false" customHeight="true" outlineLevel="0" collapsed="false">
      <c r="A8" s="11" t="s">
        <v>20</v>
      </c>
      <c r="C8" s="12" t="n">
        <f aca="false">SUM(C5:C7)</f>
        <v>1</v>
      </c>
    </row>
    <row r="10" customFormat="false" ht="15" hidden="false" customHeight="true" outlineLevel="0" collapsed="false">
      <c r="A10" s="11" t="s">
        <v>21</v>
      </c>
      <c r="B10" s="13" t="n">
        <f aca="false">SUMPRODUCT(B5:B7,C5:C7)</f>
        <v>124.75</v>
      </c>
    </row>
    <row r="11" customFormat="false" ht="15" hidden="false" customHeight="true" outlineLevel="0" collapsed="false">
      <c r="A11" s="8" t="s">
        <v>22</v>
      </c>
      <c r="B11" s="14" t="n">
        <v>4.33</v>
      </c>
    </row>
    <row r="12" customFormat="false" ht="15" hidden="false" customHeight="true" outlineLevel="0" collapsed="false">
      <c r="A12" s="11" t="s">
        <v>23</v>
      </c>
      <c r="B12" s="13" t="n">
        <f aca="false">B10*B11</f>
        <v>540.1675</v>
      </c>
    </row>
    <row r="14" customFormat="false" ht="21.75" hidden="false" customHeight="true" outlineLevel="0" collapsed="false">
      <c r="A14" s="6" t="s">
        <v>24</v>
      </c>
      <c r="B14" s="6"/>
      <c r="C14" s="6"/>
      <c r="D14" s="6"/>
    </row>
    <row r="15" customFormat="false" ht="15" hidden="false" customHeight="true" outlineLevel="0" collapsed="false">
      <c r="A15" s="8" t="s">
        <v>25</v>
      </c>
      <c r="B15" s="10" t="n">
        <v>0.44</v>
      </c>
      <c r="D15" s="8" t="s">
        <v>26</v>
      </c>
    </row>
    <row r="16" customFormat="false" ht="15" hidden="false" customHeight="true" outlineLevel="0" collapsed="false">
      <c r="A16" s="8" t="s">
        <v>27</v>
      </c>
      <c r="B16" s="10" t="n">
        <v>0.14</v>
      </c>
      <c r="D16" s="8" t="s">
        <v>28</v>
      </c>
    </row>
    <row r="17" customFormat="false" ht="15" hidden="false" customHeight="true" outlineLevel="0" collapsed="false">
      <c r="A17" s="8" t="s">
        <v>29</v>
      </c>
      <c r="B17" s="10" t="n">
        <v>0.12</v>
      </c>
      <c r="D17" s="8" t="s">
        <v>30</v>
      </c>
    </row>
    <row r="18" customFormat="false" ht="15" hidden="false" customHeight="true" outlineLevel="0" collapsed="false">
      <c r="A18" s="8" t="s">
        <v>31</v>
      </c>
      <c r="B18" s="10" t="n">
        <v>0.045</v>
      </c>
      <c r="D18" s="8" t="s">
        <v>32</v>
      </c>
    </row>
    <row r="19" customFormat="false" ht="15" hidden="false" customHeight="true" outlineLevel="0" collapsed="false">
      <c r="A19" s="8" t="s">
        <v>33</v>
      </c>
      <c r="B19" s="10" t="n">
        <v>0.065</v>
      </c>
      <c r="D19" s="8" t="s">
        <v>34</v>
      </c>
    </row>
    <row r="21" customFormat="false" ht="21.75" hidden="false" customHeight="true" outlineLevel="0" collapsed="false">
      <c r="A21" s="6" t="s">
        <v>35</v>
      </c>
      <c r="B21" s="6"/>
      <c r="C21" s="6"/>
      <c r="D21" s="6"/>
    </row>
    <row r="22" customFormat="false" ht="15" hidden="false" customHeight="true" outlineLevel="0" collapsed="false">
      <c r="A22" s="8" t="s">
        <v>36</v>
      </c>
      <c r="B22" s="15" t="n">
        <v>50</v>
      </c>
    </row>
    <row r="23" customFormat="false" ht="15" hidden="false" customHeight="true" outlineLevel="0" collapsed="false">
      <c r="A23" s="8" t="s">
        <v>37</v>
      </c>
      <c r="B23" s="15" t="n">
        <v>60</v>
      </c>
    </row>
    <row r="24" customFormat="false" ht="15" hidden="false" customHeight="true" outlineLevel="0" collapsed="false">
      <c r="A24" s="8" t="s">
        <v>38</v>
      </c>
      <c r="B24" s="15" t="n">
        <v>110</v>
      </c>
    </row>
    <row r="25" customFormat="false" ht="15" hidden="false" customHeight="true" outlineLevel="0" collapsed="false">
      <c r="A25" s="8" t="s">
        <v>39</v>
      </c>
      <c r="B25" s="10" t="n">
        <v>0.09</v>
      </c>
    </row>
    <row r="26" customFormat="false" ht="15" hidden="false" customHeight="true" outlineLevel="0" collapsed="false">
      <c r="A26" s="8" t="s">
        <v>40</v>
      </c>
      <c r="B26" s="9" t="n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1" min="10" style="1" width="12"/>
    <col collapsed="false" customWidth="true" hidden="false" outlineLevel="0" max="12" min="12" style="1" width="10"/>
    <col collapsed="false" customWidth="true" hidden="false" outlineLevel="0" max="14" min="13" style="1" width="13"/>
    <col collapsed="false" customWidth="true" hidden="false" outlineLevel="0" max="15" min="15" style="1" width="10"/>
    <col collapsed="false" customWidth="true" hidden="false" outlineLevel="0" max="16" min="16" style="0" width="14"/>
  </cols>
  <sheetData>
    <row r="1" customFormat="false" ht="17.25" hidden="false" customHeight="true" outlineLevel="0" collapsed="false">
      <c r="A1" s="5" t="s">
        <v>41</v>
      </c>
    </row>
    <row r="2" customFormat="false" ht="15" hidden="false" customHeight="true" outlineLevel="0" collapsed="false">
      <c r="A2" s="16" t="s">
        <v>42</v>
      </c>
    </row>
    <row r="4" customFormat="false" ht="30" hidden="false" customHeight="true" outlineLevel="0" collapsed="false">
      <c r="A4" s="17" t="s">
        <v>43</v>
      </c>
      <c r="B4" s="17" t="s">
        <v>44</v>
      </c>
      <c r="C4" s="17" t="s">
        <v>45</v>
      </c>
      <c r="D4" s="17" t="s">
        <v>46</v>
      </c>
      <c r="E4" s="17" t="s">
        <v>47</v>
      </c>
      <c r="F4" s="17" t="s">
        <v>48</v>
      </c>
      <c r="G4" s="17" t="s">
        <v>49</v>
      </c>
      <c r="H4" s="17" t="s">
        <v>50</v>
      </c>
      <c r="I4" s="17" t="s">
        <v>51</v>
      </c>
      <c r="J4" s="17" t="s">
        <v>52</v>
      </c>
      <c r="K4" s="17" t="s">
        <v>53</v>
      </c>
      <c r="L4" s="17" t="s">
        <v>54</v>
      </c>
      <c r="M4" s="17" t="s">
        <v>55</v>
      </c>
      <c r="N4" s="17" t="s">
        <v>56</v>
      </c>
      <c r="O4" s="17" t="s">
        <v>57</v>
      </c>
      <c r="P4" s="17" t="s">
        <v>58</v>
      </c>
    </row>
    <row r="5" customFormat="false" ht="15" hidden="false" customHeight="true" outlineLevel="0" collapsed="false">
      <c r="A5" s="18" t="n">
        <v>1</v>
      </c>
      <c r="B5" s="19" t="n">
        <f aca="false">Premissas!$B$22</f>
        <v>50</v>
      </c>
      <c r="C5" s="19" t="n">
        <f aca="false">IF(A5&lt;=6,Premissas!$B$23,Premissas!$B$24)</f>
        <v>60</v>
      </c>
      <c r="D5" s="19" t="n">
        <f aca="false">B5*Premissas!$B$25</f>
        <v>4.5</v>
      </c>
      <c r="E5" s="19" t="n">
        <f aca="false">B5+C5-D5</f>
        <v>105.5</v>
      </c>
      <c r="F5" s="20" t="n">
        <f aca="false">E5*Premissas!$B$12</f>
        <v>56987.67125</v>
      </c>
      <c r="G5" s="20" t="n">
        <f aca="false">$F5*Premissas!$B$15</f>
        <v>25074.57535</v>
      </c>
      <c r="H5" s="20" t="n">
        <f aca="false">$F5*Premissas!$B$16</f>
        <v>7978.273975</v>
      </c>
      <c r="I5" s="20" t="n">
        <f aca="false">$F5*Premissas!$B$17</f>
        <v>6838.52055</v>
      </c>
      <c r="J5" s="20" t="n">
        <f aca="false">C5*Premissas!$B$26</f>
        <v>8400</v>
      </c>
      <c r="K5" s="20" t="n">
        <f aca="false">$F5*Premissas!$B$18</f>
        <v>2564.44520625</v>
      </c>
      <c r="L5" s="20" t="n">
        <f aca="false">$F5*Premissas!$B$19</f>
        <v>3704.19863125</v>
      </c>
      <c r="M5" s="20" t="n">
        <f aca="false">SUM(G5:L5)</f>
        <v>54560.0137125</v>
      </c>
      <c r="N5" s="21" t="n">
        <f aca="false">F5-M5</f>
        <v>2427.6575375</v>
      </c>
      <c r="O5" s="22" t="n">
        <f aca="false">IFERROR(N5/F5,0)</f>
        <v>0.0425996971669551</v>
      </c>
      <c r="P5" s="23" t="n">
        <f aca="false">N5</f>
        <v>2427.6575375</v>
      </c>
    </row>
    <row r="6" customFormat="false" ht="15" hidden="false" customHeight="true" outlineLevel="0" collapsed="false">
      <c r="A6" s="24" t="n">
        <v>2</v>
      </c>
      <c r="B6" s="25" t="n">
        <f aca="false">E5</f>
        <v>105.5</v>
      </c>
      <c r="C6" s="25" t="n">
        <f aca="false">IF(A6&lt;=6,Premissas!$B$23,Premissas!$B$24)</f>
        <v>60</v>
      </c>
      <c r="D6" s="25" t="n">
        <f aca="false">B6*Premissas!$B$25</f>
        <v>9.495</v>
      </c>
      <c r="E6" s="25" t="n">
        <f aca="false">B6+C6-D6</f>
        <v>156.005</v>
      </c>
      <c r="F6" s="26" t="n">
        <f aca="false">E6*Premissas!$B$12</f>
        <v>84268.8308375</v>
      </c>
      <c r="G6" s="26" t="n">
        <f aca="false">$F6*Premissas!$B$15</f>
        <v>37078.2855685</v>
      </c>
      <c r="H6" s="26" t="n">
        <f aca="false">$F6*Premissas!$B$16</f>
        <v>11797.63631725</v>
      </c>
      <c r="I6" s="26" t="n">
        <f aca="false">$F6*Premissas!$B$17</f>
        <v>10112.2597005</v>
      </c>
      <c r="J6" s="26" t="n">
        <f aca="false">C6*Premissas!$B$26</f>
        <v>8400</v>
      </c>
      <c r="K6" s="26" t="n">
        <f aca="false">$F6*Premissas!$B$18</f>
        <v>3792.0973876875</v>
      </c>
      <c r="L6" s="26" t="n">
        <f aca="false">$F6*Premissas!$B$19</f>
        <v>5477.4740044375</v>
      </c>
      <c r="M6" s="26" t="n">
        <f aca="false">SUM(G6:L6)</f>
        <v>76657.752978375</v>
      </c>
      <c r="N6" s="27" t="n">
        <f aca="false">F6-M6</f>
        <v>7611.077859125</v>
      </c>
      <c r="O6" s="28" t="n">
        <f aca="false">IFERROR(N6/F6,0)</f>
        <v>0.0903190157438144</v>
      </c>
      <c r="P6" s="29" t="n">
        <f aca="false">P5+N6</f>
        <v>10038.735396625</v>
      </c>
    </row>
    <row r="7" customFormat="false" ht="15" hidden="false" customHeight="true" outlineLevel="0" collapsed="false">
      <c r="A7" s="18" t="n">
        <v>3</v>
      </c>
      <c r="B7" s="19" t="n">
        <f aca="false">E6</f>
        <v>156.005</v>
      </c>
      <c r="C7" s="19" t="n">
        <f aca="false">IF(A7&lt;=6,Premissas!$B$23,Premissas!$B$24)</f>
        <v>60</v>
      </c>
      <c r="D7" s="19" t="n">
        <f aca="false">B7*Premissas!$B$25</f>
        <v>14.04045</v>
      </c>
      <c r="E7" s="19" t="n">
        <f aca="false">B7+C7-D7</f>
        <v>201.96455</v>
      </c>
      <c r="F7" s="20" t="n">
        <f aca="false">E7*Premissas!$B$12</f>
        <v>109094.686062125</v>
      </c>
      <c r="G7" s="20" t="n">
        <f aca="false">$F7*Premissas!$B$15</f>
        <v>48001.661867335</v>
      </c>
      <c r="H7" s="20" t="n">
        <f aca="false">$F7*Premissas!$B$16</f>
        <v>15273.2560486975</v>
      </c>
      <c r="I7" s="20" t="n">
        <f aca="false">$F7*Premissas!$B$17</f>
        <v>13091.362327455</v>
      </c>
      <c r="J7" s="20" t="n">
        <f aca="false">C7*Premissas!$B$26</f>
        <v>8400</v>
      </c>
      <c r="K7" s="20" t="n">
        <f aca="false">$F7*Premissas!$B$18</f>
        <v>4909.26087279563</v>
      </c>
      <c r="L7" s="20" t="n">
        <f aca="false">$F7*Premissas!$B$19</f>
        <v>7091.15459403813</v>
      </c>
      <c r="M7" s="20" t="n">
        <f aca="false">SUM(G7:L7)</f>
        <v>96766.6957103213</v>
      </c>
      <c r="N7" s="21" t="n">
        <f aca="false">F7-M7</f>
        <v>12327.9903518038</v>
      </c>
      <c r="O7" s="22" t="n">
        <f aca="false">IFERROR(N7/F7,0)</f>
        <v>0.113002665819887</v>
      </c>
      <c r="P7" s="23" t="n">
        <f aca="false">P6+N7</f>
        <v>22366.7257484288</v>
      </c>
    </row>
    <row r="8" customFormat="false" ht="15" hidden="false" customHeight="true" outlineLevel="0" collapsed="false">
      <c r="A8" s="24" t="n">
        <v>4</v>
      </c>
      <c r="B8" s="25" t="n">
        <f aca="false">E7</f>
        <v>201.96455</v>
      </c>
      <c r="C8" s="25" t="n">
        <f aca="false">IF(A8&lt;=6,Premissas!$B$23,Premissas!$B$24)</f>
        <v>60</v>
      </c>
      <c r="D8" s="25" t="n">
        <f aca="false">B8*Premissas!$B$25</f>
        <v>18.1768095</v>
      </c>
      <c r="E8" s="25" t="n">
        <f aca="false">B8+C8-D8</f>
        <v>243.7877405</v>
      </c>
      <c r="F8" s="26" t="n">
        <f aca="false">E8*Premissas!$B$12</f>
        <v>131686.214316534</v>
      </c>
      <c r="G8" s="26" t="n">
        <f aca="false">$F8*Premissas!$B$15</f>
        <v>57941.9342992749</v>
      </c>
      <c r="H8" s="26" t="n">
        <f aca="false">$F8*Premissas!$B$16</f>
        <v>18436.0700043147</v>
      </c>
      <c r="I8" s="26" t="n">
        <f aca="false">$F8*Premissas!$B$17</f>
        <v>15802.3457179841</v>
      </c>
      <c r="J8" s="26" t="n">
        <f aca="false">C8*Premissas!$B$26</f>
        <v>8400</v>
      </c>
      <c r="K8" s="26" t="n">
        <f aca="false">$F8*Premissas!$B$18</f>
        <v>5925.87964424402</v>
      </c>
      <c r="L8" s="26" t="n">
        <f aca="false">$F8*Premissas!$B$19</f>
        <v>8559.60393057469</v>
      </c>
      <c r="M8" s="26" t="n">
        <f aca="false">SUM(G8:L8)</f>
        <v>115065.833596392</v>
      </c>
      <c r="N8" s="27" t="n">
        <f aca="false">F8-M8</f>
        <v>16620.3807201414</v>
      </c>
      <c r="O8" s="28" t="n">
        <f aca="false">IFERROR(N8/F8,0)</f>
        <v>0.126212001813577</v>
      </c>
      <c r="P8" s="29" t="n">
        <f aca="false">P7+N8</f>
        <v>38987.1064685702</v>
      </c>
    </row>
    <row r="9" customFormat="false" ht="15" hidden="false" customHeight="true" outlineLevel="0" collapsed="false">
      <c r="A9" s="18" t="n">
        <v>5</v>
      </c>
      <c r="B9" s="19" t="n">
        <f aca="false">E8</f>
        <v>243.7877405</v>
      </c>
      <c r="C9" s="19" t="n">
        <f aca="false">IF(A9&lt;=6,Premissas!$B$23,Premissas!$B$24)</f>
        <v>60</v>
      </c>
      <c r="D9" s="19" t="n">
        <f aca="false">B9*Premissas!$B$25</f>
        <v>21.940896645</v>
      </c>
      <c r="E9" s="19" t="n">
        <f aca="false">B9+C9-D9</f>
        <v>281.846843855</v>
      </c>
      <c r="F9" s="20" t="n">
        <f aca="false">E9*Premissas!$B$12</f>
        <v>152244.505028046</v>
      </c>
      <c r="G9" s="20" t="n">
        <f aca="false">$F9*Premissas!$B$15</f>
        <v>66987.5822123401</v>
      </c>
      <c r="H9" s="20" t="n">
        <f aca="false">$F9*Premissas!$B$16</f>
        <v>21314.2307039264</v>
      </c>
      <c r="I9" s="20" t="n">
        <f aca="false">$F9*Premissas!$B$17</f>
        <v>18269.3406033655</v>
      </c>
      <c r="J9" s="20" t="n">
        <f aca="false">C9*Premissas!$B$26</f>
        <v>8400</v>
      </c>
      <c r="K9" s="20" t="n">
        <f aca="false">$F9*Premissas!$B$18</f>
        <v>6851.00272626206</v>
      </c>
      <c r="L9" s="20" t="n">
        <f aca="false">$F9*Premissas!$B$19</f>
        <v>9895.89282682297</v>
      </c>
      <c r="M9" s="20" t="n">
        <f aca="false">SUM(G9:L9)</f>
        <v>131718.049072717</v>
      </c>
      <c r="N9" s="21" t="n">
        <f aca="false">F9-M9</f>
        <v>20526.4559553287</v>
      </c>
      <c r="O9" s="22" t="n">
        <f aca="false">IFERROR(N9/F9,0)</f>
        <v>0.134825594864967</v>
      </c>
      <c r="P9" s="23" t="n">
        <f aca="false">P8+N9</f>
        <v>59513.5624238988</v>
      </c>
    </row>
    <row r="10" customFormat="false" ht="15" hidden="false" customHeight="true" outlineLevel="0" collapsed="false">
      <c r="A10" s="24" t="n">
        <v>6</v>
      </c>
      <c r="B10" s="25" t="n">
        <f aca="false">E9</f>
        <v>281.846843855</v>
      </c>
      <c r="C10" s="25" t="n">
        <f aca="false">IF(A10&lt;=6,Premissas!$B$23,Premissas!$B$24)</f>
        <v>60</v>
      </c>
      <c r="D10" s="25" t="n">
        <f aca="false">B10*Premissas!$B$25</f>
        <v>25.36621594695</v>
      </c>
      <c r="E10" s="25" t="n">
        <f aca="false">B10+C10-D10</f>
        <v>316.48062790805</v>
      </c>
      <c r="F10" s="26" t="n">
        <f aca="false">E10*Premissas!$B$12</f>
        <v>170952.549575522</v>
      </c>
      <c r="G10" s="26" t="n">
        <f aca="false">$F10*Premissas!$B$15</f>
        <v>75219.1218132295</v>
      </c>
      <c r="H10" s="26" t="n">
        <f aca="false">$F10*Premissas!$B$16</f>
        <v>23933.356940573</v>
      </c>
      <c r="I10" s="26" t="n">
        <f aca="false">$F10*Premissas!$B$17</f>
        <v>20514.3059490626</v>
      </c>
      <c r="J10" s="26" t="n">
        <f aca="false">C10*Premissas!$B$26</f>
        <v>8400</v>
      </c>
      <c r="K10" s="26" t="n">
        <f aca="false">$F10*Premissas!$B$18</f>
        <v>7692.86473089847</v>
      </c>
      <c r="L10" s="26" t="n">
        <f aca="false">$F10*Premissas!$B$19</f>
        <v>11111.9157224089</v>
      </c>
      <c r="M10" s="26" t="n">
        <f aca="false">SUM(G10:L10)</f>
        <v>146871.565156173</v>
      </c>
      <c r="N10" s="27" t="n">
        <f aca="false">F10-M10</f>
        <v>24080.9844193491</v>
      </c>
      <c r="O10" s="28" t="n">
        <f aca="false">IFERROR(N10/F10,0)</f>
        <v>0.140863558216257</v>
      </c>
      <c r="P10" s="29" t="n">
        <f aca="false">P9+N10</f>
        <v>83594.546843248</v>
      </c>
    </row>
    <row r="11" customFormat="false" ht="15" hidden="false" customHeight="true" outlineLevel="0" collapsed="false">
      <c r="A11" s="18" t="n">
        <v>7</v>
      </c>
      <c r="B11" s="19" t="n">
        <f aca="false">E10</f>
        <v>316.48062790805</v>
      </c>
      <c r="C11" s="19" t="n">
        <f aca="false">IF(A11&lt;=6,Premissas!$B$23,Premissas!$B$24)</f>
        <v>110</v>
      </c>
      <c r="D11" s="19" t="n">
        <f aca="false">B11*Premissas!$B$25</f>
        <v>28.4832565117245</v>
      </c>
      <c r="E11" s="19" t="n">
        <f aca="false">B11+C11-D11</f>
        <v>397.997371396326</v>
      </c>
      <c r="F11" s="20" t="n">
        <f aca="false">E11*Premissas!$B$12</f>
        <v>214985.245113725</v>
      </c>
      <c r="G11" s="20" t="n">
        <f aca="false">$F11*Premissas!$B$15</f>
        <v>94593.5078500389</v>
      </c>
      <c r="H11" s="20" t="n">
        <f aca="false">$F11*Premissas!$B$16</f>
        <v>30097.9343159215</v>
      </c>
      <c r="I11" s="20" t="n">
        <f aca="false">$F11*Premissas!$B$17</f>
        <v>25798.229413647</v>
      </c>
      <c r="J11" s="20" t="n">
        <f aca="false">C11*Premissas!$B$26</f>
        <v>15400</v>
      </c>
      <c r="K11" s="20" t="n">
        <f aca="false">$F11*Premissas!$B$18</f>
        <v>9674.33603011761</v>
      </c>
      <c r="L11" s="20" t="n">
        <f aca="false">$F11*Premissas!$B$19</f>
        <v>13974.0409323921</v>
      </c>
      <c r="M11" s="20" t="n">
        <f aca="false">SUM(G11:L11)</f>
        <v>189538.048542117</v>
      </c>
      <c r="N11" s="21" t="n">
        <f aca="false">F11-M11</f>
        <v>25447.1965716077</v>
      </c>
      <c r="O11" s="22" t="n">
        <f aca="false">IFERROR(N11/F11,0)</f>
        <v>0.118367177050436</v>
      </c>
      <c r="P11" s="23" t="n">
        <f aca="false">P10+N11</f>
        <v>109041.743414856</v>
      </c>
    </row>
    <row r="12" customFormat="false" ht="15" hidden="false" customHeight="true" outlineLevel="0" collapsed="false">
      <c r="A12" s="24" t="n">
        <v>8</v>
      </c>
      <c r="B12" s="25" t="n">
        <f aca="false">E11</f>
        <v>397.997371396326</v>
      </c>
      <c r="C12" s="25" t="n">
        <f aca="false">IF(A12&lt;=6,Premissas!$B$23,Premissas!$B$24)</f>
        <v>110</v>
      </c>
      <c r="D12" s="25" t="n">
        <f aca="false">B12*Premissas!$B$25</f>
        <v>35.8197634256693</v>
      </c>
      <c r="E12" s="25" t="n">
        <f aca="false">B12+C12-D12</f>
        <v>472.177607970656</v>
      </c>
      <c r="F12" s="26" t="n">
        <f aca="false">E12*Premissas!$B$12</f>
        <v>255054.998053489</v>
      </c>
      <c r="G12" s="26" t="n">
        <f aca="false">$F12*Premissas!$B$15</f>
        <v>112224.199143535</v>
      </c>
      <c r="H12" s="26" t="n">
        <f aca="false">$F12*Premissas!$B$16</f>
        <v>35707.6997274885</v>
      </c>
      <c r="I12" s="26" t="n">
        <f aca="false">$F12*Premissas!$B$17</f>
        <v>30606.5997664187</v>
      </c>
      <c r="J12" s="26" t="n">
        <f aca="false">C12*Premissas!$B$26</f>
        <v>15400</v>
      </c>
      <c r="K12" s="26" t="n">
        <f aca="false">$F12*Premissas!$B$18</f>
        <v>11477.474912407</v>
      </c>
      <c r="L12" s="26" t="n">
        <f aca="false">$F12*Premissas!$B$19</f>
        <v>16578.5748734768</v>
      </c>
      <c r="M12" s="26" t="n">
        <f aca="false">SUM(G12:L12)</f>
        <v>221994.548423326</v>
      </c>
      <c r="N12" s="27" t="n">
        <f aca="false">F12-M12</f>
        <v>33060.449630163</v>
      </c>
      <c r="O12" s="28" t="n">
        <f aca="false">IFERROR(N12/F12,0)</f>
        <v>0.129620865626909</v>
      </c>
      <c r="P12" s="29" t="n">
        <f aca="false">P11+N12</f>
        <v>142102.193045019</v>
      </c>
    </row>
    <row r="13" customFormat="false" ht="15" hidden="false" customHeight="true" outlineLevel="0" collapsed="false">
      <c r="A13" s="18" t="n">
        <v>9</v>
      </c>
      <c r="B13" s="19" t="n">
        <f aca="false">E12</f>
        <v>472.177607970656</v>
      </c>
      <c r="C13" s="19" t="n">
        <f aca="false">IF(A13&lt;=6,Premissas!$B$23,Premissas!$B$24)</f>
        <v>110</v>
      </c>
      <c r="D13" s="19" t="n">
        <f aca="false">B13*Premissas!$B$25</f>
        <v>42.4959847173591</v>
      </c>
      <c r="E13" s="19" t="n">
        <f aca="false">B13+C13-D13</f>
        <v>539.681623253297</v>
      </c>
      <c r="F13" s="20" t="n">
        <f aca="false">E13*Premissas!$B$12</f>
        <v>291518.473228675</v>
      </c>
      <c r="G13" s="20" t="n">
        <f aca="false">$F13*Premissas!$B$15</f>
        <v>128268.128220617</v>
      </c>
      <c r="H13" s="20" t="n">
        <f aca="false">$F13*Premissas!$B$16</f>
        <v>40812.5862520146</v>
      </c>
      <c r="I13" s="20" t="n">
        <f aca="false">$F13*Premissas!$B$17</f>
        <v>34982.2167874411</v>
      </c>
      <c r="J13" s="20" t="n">
        <f aca="false">C13*Premissas!$B$26</f>
        <v>15400</v>
      </c>
      <c r="K13" s="20" t="n">
        <f aca="false">$F13*Premissas!$B$18</f>
        <v>13118.3312952904</v>
      </c>
      <c r="L13" s="20" t="n">
        <f aca="false">$F13*Premissas!$B$19</f>
        <v>18948.7007598639</v>
      </c>
      <c r="M13" s="20" t="n">
        <f aca="false">SUM(G13:L13)</f>
        <v>251529.963315227</v>
      </c>
      <c r="N13" s="21" t="n">
        <f aca="false">F13-M13</f>
        <v>39988.5099134483</v>
      </c>
      <c r="O13" s="22" t="n">
        <f aca="false">IFERROR(N13/F13,0)</f>
        <v>0.137173159115993</v>
      </c>
      <c r="P13" s="23" t="n">
        <f aca="false">P12+N13</f>
        <v>182090.702958467</v>
      </c>
    </row>
    <row r="14" customFormat="false" ht="15" hidden="false" customHeight="true" outlineLevel="0" collapsed="false">
      <c r="A14" s="24" t="n">
        <v>10</v>
      </c>
      <c r="B14" s="25" t="n">
        <f aca="false">E13</f>
        <v>539.681623253297</v>
      </c>
      <c r="C14" s="25" t="n">
        <f aca="false">IF(A14&lt;=6,Premissas!$B$23,Premissas!$B$24)</f>
        <v>110</v>
      </c>
      <c r="D14" s="25" t="n">
        <f aca="false">B14*Premissas!$B$25</f>
        <v>48.5713460927967</v>
      </c>
      <c r="E14" s="25" t="n">
        <f aca="false">B14+C14-D14</f>
        <v>601.110277160501</v>
      </c>
      <c r="F14" s="26" t="n">
        <f aca="false">E14*Premissas!$B$12</f>
        <v>324700.235638095</v>
      </c>
      <c r="G14" s="26" t="n">
        <f aca="false">$F14*Premissas!$B$15</f>
        <v>142868.103680762</v>
      </c>
      <c r="H14" s="26" t="n">
        <f aca="false">$F14*Premissas!$B$16</f>
        <v>45458.0329893333</v>
      </c>
      <c r="I14" s="26" t="n">
        <f aca="false">$F14*Premissas!$B$17</f>
        <v>38964.0282765714</v>
      </c>
      <c r="J14" s="26" t="n">
        <f aca="false">C14*Premissas!$B$26</f>
        <v>15400</v>
      </c>
      <c r="K14" s="26" t="n">
        <f aca="false">$F14*Premissas!$B$18</f>
        <v>14611.5106037143</v>
      </c>
      <c r="L14" s="26" t="n">
        <f aca="false">$F14*Premissas!$B$19</f>
        <v>21105.5153164762</v>
      </c>
      <c r="M14" s="26" t="n">
        <f aca="false">SUM(G14:L14)</f>
        <v>278407.190866857</v>
      </c>
      <c r="N14" s="27" t="n">
        <f aca="false">F14-M14</f>
        <v>46293.044771238</v>
      </c>
      <c r="O14" s="28" t="n">
        <f aca="false">IFERROR(N14/F14,0)</f>
        <v>0.142571638977298</v>
      </c>
      <c r="P14" s="29" t="n">
        <f aca="false">P13+N14</f>
        <v>228383.747729705</v>
      </c>
    </row>
    <row r="15" customFormat="false" ht="15" hidden="false" customHeight="true" outlineLevel="0" collapsed="false">
      <c r="A15" s="18" t="n">
        <v>11</v>
      </c>
      <c r="B15" s="19" t="n">
        <f aca="false">E14</f>
        <v>601.110277160501</v>
      </c>
      <c r="C15" s="19" t="n">
        <f aca="false">IF(A15&lt;=6,Premissas!$B$23,Premissas!$B$24)</f>
        <v>110</v>
      </c>
      <c r="D15" s="19" t="n">
        <f aca="false">B15*Premissas!$B$25</f>
        <v>54.099924944445</v>
      </c>
      <c r="E15" s="19" t="n">
        <f aca="false">B15+C15-D15</f>
        <v>657.010352216055</v>
      </c>
      <c r="F15" s="20" t="n">
        <f aca="false">E15*Premissas!$B$12</f>
        <v>354895.639430666</v>
      </c>
      <c r="G15" s="20" t="n">
        <f aca="false">$F15*Premissas!$B$15</f>
        <v>156154.081349493</v>
      </c>
      <c r="H15" s="20" t="n">
        <f aca="false">$F15*Premissas!$B$16</f>
        <v>49685.3895202933</v>
      </c>
      <c r="I15" s="20" t="n">
        <f aca="false">$F15*Premissas!$B$17</f>
        <v>42587.4767316799</v>
      </c>
      <c r="J15" s="20" t="n">
        <f aca="false">C15*Premissas!$B$26</f>
        <v>15400</v>
      </c>
      <c r="K15" s="20" t="n">
        <f aca="false">$F15*Premissas!$B$18</f>
        <v>15970.30377438</v>
      </c>
      <c r="L15" s="20" t="n">
        <f aca="false">$F15*Premissas!$B$19</f>
        <v>23068.2165629933</v>
      </c>
      <c r="M15" s="20" t="n">
        <f aca="false">SUM(G15:L15)</f>
        <v>302865.46793884</v>
      </c>
      <c r="N15" s="21" t="n">
        <f aca="false">F15-M15</f>
        <v>52030.1714918265</v>
      </c>
      <c r="O15" s="22" t="n">
        <f aca="false">IFERROR(N15/F15,0)</f>
        <v>0.146606961909408</v>
      </c>
      <c r="P15" s="23" t="n">
        <f aca="false">P14+N15</f>
        <v>280413.919221532</v>
      </c>
    </row>
    <row r="16" customFormat="false" ht="15" hidden="false" customHeight="true" outlineLevel="0" collapsed="false">
      <c r="A16" s="24" t="n">
        <v>12</v>
      </c>
      <c r="B16" s="25" t="n">
        <f aca="false">E15</f>
        <v>657.010352216055</v>
      </c>
      <c r="C16" s="25" t="n">
        <f aca="false">IF(A16&lt;=6,Premissas!$B$23,Premissas!$B$24)</f>
        <v>110</v>
      </c>
      <c r="D16" s="25" t="n">
        <f aca="false">B16*Premissas!$B$25</f>
        <v>59.130931699445</v>
      </c>
      <c r="E16" s="25" t="n">
        <f aca="false">B16+C16-D16</f>
        <v>707.87942051661</v>
      </c>
      <c r="F16" s="26" t="n">
        <f aca="false">E16*Premissas!$B$12</f>
        <v>382373.456881906</v>
      </c>
      <c r="G16" s="26" t="n">
        <f aca="false">$F16*Premissas!$B$15</f>
        <v>168244.321028039</v>
      </c>
      <c r="H16" s="26" t="n">
        <f aca="false">$F16*Premissas!$B$16</f>
        <v>53532.2839634669</v>
      </c>
      <c r="I16" s="26" t="n">
        <f aca="false">$F16*Premissas!$B$17</f>
        <v>45884.8148258287</v>
      </c>
      <c r="J16" s="26" t="n">
        <f aca="false">C16*Premissas!$B$26</f>
        <v>15400</v>
      </c>
      <c r="K16" s="26" t="n">
        <f aca="false">$F16*Premissas!$B$18</f>
        <v>17206.8055596858</v>
      </c>
      <c r="L16" s="26" t="n">
        <f aca="false">$F16*Premissas!$B$19</f>
        <v>24854.2746973239</v>
      </c>
      <c r="M16" s="26" t="n">
        <f aca="false">SUM(G16:L16)</f>
        <v>325122.500074344</v>
      </c>
      <c r="N16" s="27" t="n">
        <f aca="false">F16-M16</f>
        <v>57250.9568075622</v>
      </c>
      <c r="O16" s="28" t="n">
        <f aca="false">IFERROR(N16/F16,0)</f>
        <v>0.149725237924252</v>
      </c>
      <c r="P16" s="29" t="n">
        <f aca="false">P15+N16</f>
        <v>337664.876029094</v>
      </c>
    </row>
    <row r="17" customFormat="false" ht="15" hidden="false" customHeight="true" outlineLevel="0" collapsed="false">
      <c r="A17" s="18" t="n">
        <v>13</v>
      </c>
      <c r="B17" s="19" t="n">
        <f aca="false">E16</f>
        <v>707.87942051661</v>
      </c>
      <c r="C17" s="19" t="n">
        <f aca="false">IF(A17&lt;=6,Premissas!$B$23,Premissas!$B$24)</f>
        <v>110</v>
      </c>
      <c r="D17" s="19" t="n">
        <f aca="false">B17*Premissas!$B$25</f>
        <v>63.7091478464949</v>
      </c>
      <c r="E17" s="19" t="n">
        <f aca="false">B17+C17-D17</f>
        <v>754.170272670115</v>
      </c>
      <c r="F17" s="20" t="n">
        <f aca="false">E17*Premissas!$B$12</f>
        <v>407378.270762535</v>
      </c>
      <c r="G17" s="20" t="n">
        <f aca="false">$F17*Premissas!$B$15</f>
        <v>179246.439135515</v>
      </c>
      <c r="H17" s="20" t="n">
        <f aca="false">$F17*Premissas!$B$16</f>
        <v>57032.9579067549</v>
      </c>
      <c r="I17" s="20" t="n">
        <f aca="false">$F17*Premissas!$B$17</f>
        <v>48885.3924915042</v>
      </c>
      <c r="J17" s="20" t="n">
        <f aca="false">C17*Premissas!$B$26</f>
        <v>15400</v>
      </c>
      <c r="K17" s="20" t="n">
        <f aca="false">$F17*Premissas!$B$18</f>
        <v>18332.0221843141</v>
      </c>
      <c r="L17" s="20" t="n">
        <f aca="false">$F17*Premissas!$B$19</f>
        <v>26479.5875995647</v>
      </c>
      <c r="M17" s="20" t="n">
        <f aca="false">SUM(G17:L17)</f>
        <v>345376.399317653</v>
      </c>
      <c r="N17" s="21" t="n">
        <f aca="false">F17-M17</f>
        <v>62001.8714448815</v>
      </c>
      <c r="O17" s="22" t="n">
        <f aca="false">IFERROR(N17/F17,0)</f>
        <v>0.152197296455763</v>
      </c>
      <c r="P17" s="23" t="n">
        <f aca="false">P16+N17</f>
        <v>399666.747473975</v>
      </c>
    </row>
    <row r="18" customFormat="false" ht="15" hidden="false" customHeight="true" outlineLevel="0" collapsed="false">
      <c r="A18" s="24" t="n">
        <v>14</v>
      </c>
      <c r="B18" s="25" t="n">
        <f aca="false">E17</f>
        <v>754.170272670115</v>
      </c>
      <c r="C18" s="25" t="n">
        <f aca="false">IF(A18&lt;=6,Premissas!$B$23,Premissas!$B$24)</f>
        <v>110</v>
      </c>
      <c r="D18" s="25" t="n">
        <f aca="false">B18*Premissas!$B$25</f>
        <v>67.8753245403104</v>
      </c>
      <c r="E18" s="25" t="n">
        <f aca="false">B18+C18-D18</f>
        <v>796.294948129805</v>
      </c>
      <c r="F18" s="26" t="n">
        <f aca="false">E18*Premissas!$B$12</f>
        <v>430132.651393906</v>
      </c>
      <c r="G18" s="26" t="n">
        <f aca="false">$F18*Premissas!$B$15</f>
        <v>189258.366613319</v>
      </c>
      <c r="H18" s="26" t="n">
        <f aca="false">$F18*Premissas!$B$16</f>
        <v>60218.5711951469</v>
      </c>
      <c r="I18" s="26" t="n">
        <f aca="false">$F18*Premissas!$B$17</f>
        <v>51615.9181672688</v>
      </c>
      <c r="J18" s="26" t="n">
        <f aca="false">C18*Premissas!$B$26</f>
        <v>15400</v>
      </c>
      <c r="K18" s="26" t="n">
        <f aca="false">$F18*Premissas!$B$18</f>
        <v>19355.9693127258</v>
      </c>
      <c r="L18" s="26" t="n">
        <f aca="false">$F18*Premissas!$B$19</f>
        <v>27958.6223406039</v>
      </c>
      <c r="M18" s="26" t="n">
        <f aca="false">SUM(G18:L18)</f>
        <v>363807.447629064</v>
      </c>
      <c r="N18" s="27" t="n">
        <f aca="false">F18-M18</f>
        <v>66325.2037648422</v>
      </c>
      <c r="O18" s="28" t="n">
        <f aca="false">IFERROR(N18/F18,0)</f>
        <v>0.154197091408676</v>
      </c>
      <c r="P18" s="29" t="n">
        <f aca="false">P17+N18</f>
        <v>465991.951238817</v>
      </c>
    </row>
    <row r="19" customFormat="false" ht="15" hidden="false" customHeight="true" outlineLevel="0" collapsed="false">
      <c r="A19" s="18" t="n">
        <v>15</v>
      </c>
      <c r="B19" s="19" t="n">
        <f aca="false">E18</f>
        <v>796.294948129805</v>
      </c>
      <c r="C19" s="19" t="n">
        <f aca="false">IF(A19&lt;=6,Premissas!$B$23,Premissas!$B$24)</f>
        <v>110</v>
      </c>
      <c r="D19" s="19" t="n">
        <f aca="false">B19*Premissas!$B$25</f>
        <v>71.6665453316824</v>
      </c>
      <c r="E19" s="19" t="n">
        <f aca="false">B19+C19-D19</f>
        <v>834.628402798123</v>
      </c>
      <c r="F19" s="20" t="n">
        <f aca="false">E19*Premissas!$B$12</f>
        <v>450839.137768455</v>
      </c>
      <c r="G19" s="20" t="n">
        <f aca="false">$F19*Premissas!$B$15</f>
        <v>198369.22061812</v>
      </c>
      <c r="H19" s="20" t="n">
        <f aca="false">$F19*Premissas!$B$16</f>
        <v>63117.4792875837</v>
      </c>
      <c r="I19" s="20" t="n">
        <f aca="false">$F19*Premissas!$B$17</f>
        <v>54100.6965322146</v>
      </c>
      <c r="J19" s="20" t="n">
        <f aca="false">C19*Premissas!$B$26</f>
        <v>15400</v>
      </c>
      <c r="K19" s="20" t="n">
        <f aca="false">$F19*Premissas!$B$18</f>
        <v>20287.7611995805</v>
      </c>
      <c r="L19" s="20" t="n">
        <f aca="false">$F19*Premissas!$B$19</f>
        <v>29304.5439549496</v>
      </c>
      <c r="M19" s="20" t="n">
        <f aca="false">SUM(G19:L19)</f>
        <v>380579.701592449</v>
      </c>
      <c r="N19" s="21" t="n">
        <f aca="false">F19-M19</f>
        <v>70259.4361760064</v>
      </c>
      <c r="O19" s="22" t="n">
        <f aca="false">IFERROR(N19/F19,0)</f>
        <v>0.155841474907821</v>
      </c>
      <c r="P19" s="23" t="n">
        <f aca="false">P18+N19</f>
        <v>536251.387414824</v>
      </c>
    </row>
    <row r="20" customFormat="false" ht="15" hidden="false" customHeight="true" outlineLevel="0" collapsed="false">
      <c r="A20" s="24" t="n">
        <v>16</v>
      </c>
      <c r="B20" s="25" t="n">
        <f aca="false">E19</f>
        <v>834.628402798123</v>
      </c>
      <c r="C20" s="25" t="n">
        <f aca="false">IF(A20&lt;=6,Premissas!$B$23,Premissas!$B$24)</f>
        <v>110</v>
      </c>
      <c r="D20" s="25" t="n">
        <f aca="false">B20*Premissas!$B$25</f>
        <v>75.116556251831</v>
      </c>
      <c r="E20" s="25" t="n">
        <f aca="false">B20+C20-D20</f>
        <v>869.511846546292</v>
      </c>
      <c r="F20" s="26" t="n">
        <f aca="false">E20*Premissas!$B$12</f>
        <v>469682.040369294</v>
      </c>
      <c r="G20" s="26" t="n">
        <f aca="false">$F20*Premissas!$B$15</f>
        <v>206660.097762489</v>
      </c>
      <c r="H20" s="26" t="n">
        <f aca="false">$F20*Premissas!$B$16</f>
        <v>65755.4856517012</v>
      </c>
      <c r="I20" s="26" t="n">
        <f aca="false">$F20*Premissas!$B$17</f>
        <v>56361.8448443153</v>
      </c>
      <c r="J20" s="26" t="n">
        <f aca="false">C20*Premissas!$B$26</f>
        <v>15400</v>
      </c>
      <c r="K20" s="26" t="n">
        <f aca="false">$F20*Premissas!$B$18</f>
        <v>21135.6918166182</v>
      </c>
      <c r="L20" s="26" t="n">
        <f aca="false">$F20*Premissas!$B$19</f>
        <v>30529.3326240041</v>
      </c>
      <c r="M20" s="26" t="n">
        <f aca="false">SUM(G20:L20)</f>
        <v>395842.452699128</v>
      </c>
      <c r="N20" s="27" t="n">
        <f aca="false">F20-M20</f>
        <v>73839.5876701658</v>
      </c>
      <c r="O20" s="28" t="n">
        <f aca="false">IFERROR(N20/F20,0)</f>
        <v>0.157211861054147</v>
      </c>
      <c r="P20" s="29" t="n">
        <f aca="false">P19+N20</f>
        <v>610090.97508499</v>
      </c>
    </row>
    <row r="21" customFormat="false" ht="15" hidden="false" customHeight="true" outlineLevel="0" collapsed="false">
      <c r="A21" s="18" t="n">
        <v>17</v>
      </c>
      <c r="B21" s="19" t="n">
        <f aca="false">E20</f>
        <v>869.511846546292</v>
      </c>
      <c r="C21" s="19" t="n">
        <f aca="false">IF(A21&lt;=6,Premissas!$B$23,Premissas!$B$24)</f>
        <v>110</v>
      </c>
      <c r="D21" s="19" t="n">
        <f aca="false">B21*Premissas!$B$25</f>
        <v>78.2560661891662</v>
      </c>
      <c r="E21" s="19" t="n">
        <f aca="false">B21+C21-D21</f>
        <v>901.255780357125</v>
      </c>
      <c r="F21" s="20" t="n">
        <f aca="false">E21*Premissas!$B$12</f>
        <v>486829.081736058</v>
      </c>
      <c r="G21" s="20" t="n">
        <f aca="false">$F21*Premissas!$B$15</f>
        <v>214204.795963865</v>
      </c>
      <c r="H21" s="20" t="n">
        <f aca="false">$F21*Premissas!$B$16</f>
        <v>68156.0714430481</v>
      </c>
      <c r="I21" s="20" t="n">
        <f aca="false">$F21*Premissas!$B$17</f>
        <v>58419.4898083269</v>
      </c>
      <c r="J21" s="20" t="n">
        <f aca="false">C21*Premissas!$B$26</f>
        <v>15400</v>
      </c>
      <c r="K21" s="20" t="n">
        <f aca="false">$F21*Premissas!$B$18</f>
        <v>21907.3086781226</v>
      </c>
      <c r="L21" s="20" t="n">
        <f aca="false">$F21*Premissas!$B$19</f>
        <v>31643.8903128437</v>
      </c>
      <c r="M21" s="20" t="n">
        <f aca="false">SUM(G21:L21)</f>
        <v>409731.556206207</v>
      </c>
      <c r="N21" s="21" t="n">
        <f aca="false">F21-M21</f>
        <v>77097.5255298509</v>
      </c>
      <c r="O21" s="22" t="n">
        <f aca="false">IFERROR(N21/F21,0)</f>
        <v>0.158366721344824</v>
      </c>
      <c r="P21" s="23" t="n">
        <f aca="false">P20+N21</f>
        <v>687188.500614841</v>
      </c>
    </row>
    <row r="22" customFormat="false" ht="15" hidden="false" customHeight="true" outlineLevel="0" collapsed="false">
      <c r="A22" s="24" t="n">
        <v>18</v>
      </c>
      <c r="B22" s="25" t="n">
        <f aca="false">E21</f>
        <v>901.255780357125</v>
      </c>
      <c r="C22" s="25" t="n">
        <f aca="false">IF(A22&lt;=6,Premissas!$B$23,Premissas!$B$24)</f>
        <v>110</v>
      </c>
      <c r="D22" s="25" t="n">
        <f aca="false">B22*Premissas!$B$25</f>
        <v>81.1130202321413</v>
      </c>
      <c r="E22" s="25" t="n">
        <f aca="false">B22+C22-D22</f>
        <v>930.142760124984</v>
      </c>
      <c r="F22" s="26" t="n">
        <f aca="false">E22*Premissas!$B$12</f>
        <v>502432.889379812</v>
      </c>
      <c r="G22" s="26" t="n">
        <f aca="false">$F22*Premissas!$B$15</f>
        <v>221070.471327117</v>
      </c>
      <c r="H22" s="26" t="n">
        <f aca="false">$F22*Premissas!$B$16</f>
        <v>70340.6045131737</v>
      </c>
      <c r="I22" s="26" t="n">
        <f aca="false">$F22*Premissas!$B$17</f>
        <v>60291.9467255775</v>
      </c>
      <c r="J22" s="26" t="n">
        <f aca="false">C22*Premissas!$B$26</f>
        <v>15400</v>
      </c>
      <c r="K22" s="26" t="n">
        <f aca="false">$F22*Premissas!$B$18</f>
        <v>22609.4800220916</v>
      </c>
      <c r="L22" s="26" t="n">
        <f aca="false">$F22*Premissas!$B$19</f>
        <v>32658.1378096878</v>
      </c>
      <c r="M22" s="26" t="n">
        <f aca="false">SUM(G22:L22)</f>
        <v>422370.640397648</v>
      </c>
      <c r="N22" s="27" t="n">
        <f aca="false">F22-M22</f>
        <v>80062.2489821643</v>
      </c>
      <c r="O22" s="28" t="n">
        <f aca="false">IFERROR(N22/F22,0)</f>
        <v>0.159349140302082</v>
      </c>
      <c r="P22" s="29" t="n">
        <f aca="false">P21+N22</f>
        <v>767250.749597005</v>
      </c>
    </row>
    <row r="23" customFormat="false" ht="15" hidden="false" customHeight="true" outlineLevel="0" collapsed="false">
      <c r="A23" s="18" t="n">
        <v>19</v>
      </c>
      <c r="B23" s="19" t="n">
        <f aca="false">E22</f>
        <v>930.142760124984</v>
      </c>
      <c r="C23" s="19" t="n">
        <f aca="false">IF(A23&lt;=6,Premissas!$B$23,Premissas!$B$24)</f>
        <v>110</v>
      </c>
      <c r="D23" s="19" t="n">
        <f aca="false">B23*Premissas!$B$25</f>
        <v>83.7128484112486</v>
      </c>
      <c r="E23" s="19" t="n">
        <f aca="false">B23+C23-D23</f>
        <v>956.429911713736</v>
      </c>
      <c r="F23" s="20" t="n">
        <f aca="false">E23*Premissas!$B$12</f>
        <v>516632.354335629</v>
      </c>
      <c r="G23" s="20" t="n">
        <f aca="false">$F23*Premissas!$B$15</f>
        <v>227318.235907677</v>
      </c>
      <c r="H23" s="20" t="n">
        <f aca="false">$F23*Premissas!$B$16</f>
        <v>72328.5296069881</v>
      </c>
      <c r="I23" s="20" t="n">
        <f aca="false">$F23*Premissas!$B$17</f>
        <v>61995.8825202755</v>
      </c>
      <c r="J23" s="20" t="n">
        <f aca="false">C23*Premissas!$B$26</f>
        <v>15400</v>
      </c>
      <c r="K23" s="20" t="n">
        <f aca="false">$F23*Premissas!$B$18</f>
        <v>23248.4559451033</v>
      </c>
      <c r="L23" s="20" t="n">
        <f aca="false">$F23*Premissas!$B$19</f>
        <v>33581.1030318159</v>
      </c>
      <c r="M23" s="20" t="n">
        <f aca="false">SUM(G23:L23)</f>
        <v>433872.20701186</v>
      </c>
      <c r="N23" s="21" t="n">
        <f aca="false">F23-M23</f>
        <v>82760.1473237695</v>
      </c>
      <c r="O23" s="22" t="n">
        <f aca="false">IFERROR(N23/F23,0)</f>
        <v>0.160191568780465</v>
      </c>
      <c r="P23" s="23" t="n">
        <f aca="false">P22+N23</f>
        <v>850010.896920774</v>
      </c>
    </row>
    <row r="24" customFormat="false" ht="15" hidden="false" customHeight="true" outlineLevel="0" collapsed="false">
      <c r="A24" s="24" t="n">
        <v>20</v>
      </c>
      <c r="B24" s="25" t="n">
        <f aca="false">E23</f>
        <v>956.429911713736</v>
      </c>
      <c r="C24" s="25" t="n">
        <f aca="false">IF(A24&lt;=6,Premissas!$B$23,Premissas!$B$24)</f>
        <v>110</v>
      </c>
      <c r="D24" s="25" t="n">
        <f aca="false">B24*Premissas!$B$25</f>
        <v>86.0786920542362</v>
      </c>
      <c r="E24" s="25" t="n">
        <f aca="false">B24+C24-D24</f>
        <v>980.351219659499</v>
      </c>
      <c r="F24" s="26" t="n">
        <f aca="false">E24*Premissas!$B$12</f>
        <v>529553.867445423</v>
      </c>
      <c r="G24" s="26" t="n">
        <f aca="false">$F24*Premissas!$B$15</f>
        <v>233003.701675986</v>
      </c>
      <c r="H24" s="26" t="n">
        <f aca="false">$F24*Premissas!$B$16</f>
        <v>74137.5414423592</v>
      </c>
      <c r="I24" s="26" t="n">
        <f aca="false">$F24*Premissas!$B$17</f>
        <v>63546.4640934507</v>
      </c>
      <c r="J24" s="26" t="n">
        <f aca="false">C24*Premissas!$B$26</f>
        <v>15400</v>
      </c>
      <c r="K24" s="26" t="n">
        <f aca="false">$F24*Premissas!$B$18</f>
        <v>23829.924035044</v>
      </c>
      <c r="L24" s="26" t="n">
        <f aca="false">$F24*Premissas!$B$19</f>
        <v>34421.0013839525</v>
      </c>
      <c r="M24" s="26" t="n">
        <f aca="false">SUM(G24:L24)</f>
        <v>444338.632630792</v>
      </c>
      <c r="N24" s="27" t="n">
        <f aca="false">F24-M24</f>
        <v>85215.2348146303</v>
      </c>
      <c r="O24" s="28" t="n">
        <f aca="false">IFERROR(N24/F24,0)</f>
        <v>0.160918916947411</v>
      </c>
      <c r="P24" s="29" t="n">
        <f aca="false">P23+N24</f>
        <v>935226.131735405</v>
      </c>
    </row>
    <row r="25" customFormat="false" ht="15" hidden="false" customHeight="true" outlineLevel="0" collapsed="false">
      <c r="A25" s="18" t="n">
        <v>21</v>
      </c>
      <c r="B25" s="19" t="n">
        <f aca="false">E24</f>
        <v>980.351219659499</v>
      </c>
      <c r="C25" s="19" t="n">
        <f aca="false">IF(A25&lt;=6,Premissas!$B$23,Premissas!$B$24)</f>
        <v>110</v>
      </c>
      <c r="D25" s="19" t="n">
        <f aca="false">B25*Premissas!$B$25</f>
        <v>88.2316097693549</v>
      </c>
      <c r="E25" s="19" t="n">
        <f aca="false">B25+C25-D25</f>
        <v>1002.11960989014</v>
      </c>
      <c r="F25" s="20" t="n">
        <f aca="false">E25*Premissas!$B$12</f>
        <v>541312.444375335</v>
      </c>
      <c r="G25" s="20" t="n">
        <f aca="false">$F25*Premissas!$B$15</f>
        <v>238177.475525147</v>
      </c>
      <c r="H25" s="20" t="n">
        <f aca="false">$F25*Premissas!$B$16</f>
        <v>75783.7422125468</v>
      </c>
      <c r="I25" s="20" t="n">
        <f aca="false">$F25*Premissas!$B$17</f>
        <v>64957.4933250401</v>
      </c>
      <c r="J25" s="20" t="n">
        <f aca="false">C25*Premissas!$B$26</f>
        <v>15400</v>
      </c>
      <c r="K25" s="20" t="n">
        <f aca="false">$F25*Premissas!$B$18</f>
        <v>24359.0599968901</v>
      </c>
      <c r="L25" s="20" t="n">
        <f aca="false">$F25*Premissas!$B$19</f>
        <v>35185.3088843968</v>
      </c>
      <c r="M25" s="20" t="n">
        <f aca="false">SUM(G25:L25)</f>
        <v>453863.079944021</v>
      </c>
      <c r="N25" s="21" t="n">
        <f aca="false">F25-M25</f>
        <v>87449.3644313136</v>
      </c>
      <c r="O25" s="22" t="n">
        <f aca="false">IFERROR(N25/F25,0)</f>
        <v>0.161550626334166</v>
      </c>
      <c r="P25" s="23" t="n">
        <f aca="false">P24+N25</f>
        <v>1022675.49616672</v>
      </c>
    </row>
    <row r="26" customFormat="false" ht="15" hidden="false" customHeight="true" outlineLevel="0" collapsed="false">
      <c r="A26" s="24" t="n">
        <v>22</v>
      </c>
      <c r="B26" s="25" t="n">
        <f aca="false">E25</f>
        <v>1002.11960989014</v>
      </c>
      <c r="C26" s="25" t="n">
        <f aca="false">IF(A26&lt;=6,Premissas!$B$23,Premissas!$B$24)</f>
        <v>110</v>
      </c>
      <c r="D26" s="25" t="n">
        <f aca="false">B26*Premissas!$B$25</f>
        <v>90.190764890113</v>
      </c>
      <c r="E26" s="25" t="n">
        <f aca="false">B26+C26-D26</f>
        <v>1021.92884500003</v>
      </c>
      <c r="F26" s="26" t="n">
        <f aca="false">E26*Premissas!$B$12</f>
        <v>552012.749381554</v>
      </c>
      <c r="G26" s="26" t="n">
        <f aca="false">$F26*Premissas!$B$15</f>
        <v>242885.609727884</v>
      </c>
      <c r="H26" s="26" t="n">
        <f aca="false">$F26*Premissas!$B$16</f>
        <v>77281.7849134176</v>
      </c>
      <c r="I26" s="26" t="n">
        <f aca="false">$F26*Premissas!$B$17</f>
        <v>66241.5299257865</v>
      </c>
      <c r="J26" s="26" t="n">
        <f aca="false">C26*Premissas!$B$26</f>
        <v>15400</v>
      </c>
      <c r="K26" s="26" t="n">
        <f aca="false">$F26*Premissas!$B$18</f>
        <v>24840.57372217</v>
      </c>
      <c r="L26" s="26" t="n">
        <f aca="false">$F26*Premissas!$B$19</f>
        <v>35880.828709801</v>
      </c>
      <c r="M26" s="26" t="n">
        <f aca="false">SUM(G26:L26)</f>
        <v>462530.326999059</v>
      </c>
      <c r="N26" s="27" t="n">
        <f aca="false">F26-M26</f>
        <v>89482.4223824954</v>
      </c>
      <c r="O26" s="28" t="n">
        <f aca="false">IFERROR(N26/F26,0)</f>
        <v>0.162102093625096</v>
      </c>
      <c r="P26" s="29" t="n">
        <f aca="false">P25+N26</f>
        <v>1112157.91854921</v>
      </c>
    </row>
    <row r="27" customFormat="false" ht="15" hidden="false" customHeight="true" outlineLevel="0" collapsed="false">
      <c r="A27" s="18" t="n">
        <v>23</v>
      </c>
      <c r="B27" s="19" t="n">
        <f aca="false">E26</f>
        <v>1021.92884500003</v>
      </c>
      <c r="C27" s="19" t="n">
        <f aca="false">IF(A27&lt;=6,Premissas!$B$23,Premissas!$B$24)</f>
        <v>110</v>
      </c>
      <c r="D27" s="19" t="n">
        <f aca="false">B27*Premissas!$B$25</f>
        <v>91.9735960500028</v>
      </c>
      <c r="E27" s="19" t="n">
        <f aca="false">B27+C27-D27</f>
        <v>1039.95524895003</v>
      </c>
      <c r="F27" s="20" t="n">
        <f aca="false">E27*Premissas!$B$12</f>
        <v>561750.026937214</v>
      </c>
      <c r="G27" s="20" t="n">
        <f aca="false">$F27*Premissas!$B$15</f>
        <v>247170.011852374</v>
      </c>
      <c r="H27" s="20" t="n">
        <f aca="false">$F27*Premissas!$B$16</f>
        <v>78645.00377121</v>
      </c>
      <c r="I27" s="20" t="n">
        <f aca="false">$F27*Premissas!$B$17</f>
        <v>67410.0032324657</v>
      </c>
      <c r="J27" s="20" t="n">
        <f aca="false">C27*Premissas!$B$26</f>
        <v>15400</v>
      </c>
      <c r="K27" s="20" t="n">
        <f aca="false">$F27*Premissas!$B$18</f>
        <v>25278.7512121746</v>
      </c>
      <c r="L27" s="20" t="n">
        <f aca="false">$F27*Premissas!$B$19</f>
        <v>36513.7517509189</v>
      </c>
      <c r="M27" s="20" t="n">
        <f aca="false">SUM(G27:L27)</f>
        <v>470417.521819144</v>
      </c>
      <c r="N27" s="21" t="n">
        <f aca="false">F27-M27</f>
        <v>91332.5051180708</v>
      </c>
      <c r="O27" s="22" t="n">
        <f aca="false">IFERROR(N27/F27,0)</f>
        <v>0.162585671096512</v>
      </c>
      <c r="P27" s="23" t="n">
        <f aca="false">P26+N27</f>
        <v>1203490.42366728</v>
      </c>
    </row>
    <row r="28" customFormat="false" ht="15" hidden="false" customHeight="true" outlineLevel="0" collapsed="false">
      <c r="A28" s="24" t="n">
        <v>24</v>
      </c>
      <c r="B28" s="25" t="n">
        <f aca="false">E27</f>
        <v>1039.95524895003</v>
      </c>
      <c r="C28" s="25" t="n">
        <f aca="false">IF(A28&lt;=6,Premissas!$B$23,Premissas!$B$24)</f>
        <v>110</v>
      </c>
      <c r="D28" s="25" t="n">
        <f aca="false">B28*Premissas!$B$25</f>
        <v>93.5959724055026</v>
      </c>
      <c r="E28" s="25" t="n">
        <f aca="false">B28+C28-D28</f>
        <v>1056.35927654453</v>
      </c>
      <c r="F28" s="26" t="n">
        <f aca="false">E28*Premissas!$B$12</f>
        <v>570610.949512865</v>
      </c>
      <c r="G28" s="26" t="n">
        <f aca="false">$F28*Premissas!$B$15</f>
        <v>251068.817785661</v>
      </c>
      <c r="H28" s="26" t="n">
        <f aca="false">$F28*Premissas!$B$16</f>
        <v>79885.5329318011</v>
      </c>
      <c r="I28" s="26" t="n">
        <f aca="false">$F28*Premissas!$B$17</f>
        <v>68473.3139415438</v>
      </c>
      <c r="J28" s="26" t="n">
        <f aca="false">C28*Premissas!$B$26</f>
        <v>15400</v>
      </c>
      <c r="K28" s="26" t="n">
        <f aca="false">$F28*Premissas!$B$18</f>
        <v>25677.4927280789</v>
      </c>
      <c r="L28" s="26" t="n">
        <f aca="false">$F28*Premissas!$B$19</f>
        <v>37089.7117183362</v>
      </c>
      <c r="M28" s="26" t="n">
        <f aca="false">SUM(G28:L28)</f>
        <v>477594.869105421</v>
      </c>
      <c r="N28" s="27" t="n">
        <f aca="false">F28-M28</f>
        <v>93016.0804074444</v>
      </c>
      <c r="O28" s="28" t="n">
        <f aca="false">IFERROR(N28/F28,0)</f>
        <v>0.16301138365265</v>
      </c>
      <c r="P28" s="29" t="n">
        <f aca="false">P27+N28</f>
        <v>1296506.50407473</v>
      </c>
    </row>
    <row r="30" customFormat="false" ht="15" hidden="false" customHeight="true" outlineLevel="0" collapsed="false">
      <c r="A30" s="11" t="s">
        <v>59</v>
      </c>
      <c r="F30" s="30" t="n">
        <f aca="false">SUM(F5:F16)</f>
        <v>2528762.50541628</v>
      </c>
      <c r="M30" s="30" t="n">
        <f aca="false">SUM(M5:M16)</f>
        <v>2191097.62938719</v>
      </c>
      <c r="N30" s="30" t="n">
        <f aca="false">SUM(N5:N16)</f>
        <v>337664.876029094</v>
      </c>
    </row>
    <row r="31" customFormat="false" ht="15" hidden="false" customHeight="true" outlineLevel="0" collapsed="false">
      <c r="A31" s="11" t="s">
        <v>60</v>
      </c>
      <c r="F31" s="30" t="n">
        <f aca="false">SUM(F17:F28)</f>
        <v>6019166.46339808</v>
      </c>
      <c r="M31" s="30" t="n">
        <f aca="false">SUM(M17:M28)</f>
        <v>5060324.83535245</v>
      </c>
      <c r="N31" s="30" t="n">
        <f aca="false">SUM(N17:N28)</f>
        <v>958841.628045635</v>
      </c>
    </row>
    <row r="33" customFormat="false" ht="15" hidden="false" customHeight="true" outlineLevel="0" collapsed="false">
      <c r="A33" s="11" t="s">
        <v>61</v>
      </c>
      <c r="C33" s="31" t="n">
        <f aca="false">IFERROR(INDEX(A5:A28,MATCH(TRUE(),INDEX(N5:N28&gt;0,0),0)),"não atingido em 24 meses")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5" t="s">
        <v>62</v>
      </c>
    </row>
    <row r="3" customFormat="false" ht="21.75" hidden="false" customHeight="true" outlineLevel="0" collapsed="false">
      <c r="A3" s="6" t="s">
        <v>63</v>
      </c>
      <c r="B3" s="6"/>
      <c r="C3" s="6"/>
      <c r="D3" s="6"/>
    </row>
    <row r="4" customFormat="false" ht="15" hidden="false" customHeight="true" outlineLevel="0" collapsed="false">
      <c r="A4" s="11" t="s">
        <v>64</v>
      </c>
      <c r="B4" s="12" t="n">
        <f aca="false">1-Premissas!$B$15-Premissas!$B$16-Premissas!$B$17</f>
        <v>0.3</v>
      </c>
      <c r="D4" s="8" t="s">
        <v>65</v>
      </c>
    </row>
    <row r="5" customFormat="false" ht="15" hidden="false" customHeight="true" outlineLevel="0" collapsed="false">
      <c r="A5" s="11" t="s">
        <v>66</v>
      </c>
      <c r="B5" s="13" t="n">
        <f aca="false">Premissas!$B$12*B4</f>
        <v>162.05025</v>
      </c>
    </row>
    <row r="7" customFormat="false" ht="21.75" hidden="false" customHeight="true" outlineLevel="0" collapsed="false">
      <c r="A7" s="6" t="s">
        <v>67</v>
      </c>
      <c r="B7" s="6"/>
      <c r="C7" s="6"/>
      <c r="D7" s="6"/>
    </row>
    <row r="8" customFormat="false" ht="15" hidden="false" customHeight="true" outlineLevel="0" collapsed="false">
      <c r="A8" s="11" t="s">
        <v>68</v>
      </c>
      <c r="B8" s="13" t="n">
        <f aca="false">B5/Premissas!$B$25</f>
        <v>1800.55833333333</v>
      </c>
      <c r="D8" s="8" t="s">
        <v>69</v>
      </c>
    </row>
    <row r="9" customFormat="false" ht="15" hidden="false" customHeight="true" outlineLevel="0" collapsed="false">
      <c r="A9" s="8" t="s">
        <v>70</v>
      </c>
      <c r="B9" s="13" t="n">
        <f aca="false">Premissas!$B$26</f>
        <v>140</v>
      </c>
    </row>
    <row r="10" customFormat="false" ht="15" hidden="false" customHeight="true" outlineLevel="0" collapsed="false">
      <c r="A10" s="11" t="s">
        <v>71</v>
      </c>
      <c r="B10" s="32" t="n">
        <f aca="false">B8/B9</f>
        <v>12.861130952381</v>
      </c>
      <c r="D10" s="8" t="s">
        <v>72</v>
      </c>
    </row>
    <row r="11" customFormat="false" ht="15" hidden="false" customHeight="true" outlineLevel="0" collapsed="false">
      <c r="A11" s="11" t="s">
        <v>73</v>
      </c>
      <c r="B11" s="33" t="n">
        <f aca="false">B9/B5</f>
        <v>0.863929552715901</v>
      </c>
    </row>
    <row r="12" customFormat="false" ht="15" hidden="false" customHeight="true" outlineLevel="0" collapsed="false">
      <c r="A12" s="11" t="s">
        <v>74</v>
      </c>
      <c r="B12" s="33" t="n">
        <f aca="false">1/Premissas!$B$25</f>
        <v>11.1111111111111</v>
      </c>
    </row>
    <row r="14" customFormat="false" ht="21.75" hidden="false" customHeight="true" outlineLevel="0" collapsed="false">
      <c r="A14" s="6" t="s">
        <v>75</v>
      </c>
      <c r="B14" s="6"/>
      <c r="C14" s="6"/>
      <c r="D14" s="6"/>
    </row>
    <row r="15" customFormat="false" ht="15" hidden="false" customHeight="true" outlineLevel="0" collapsed="false">
      <c r="A15" s="8" t="s">
        <v>76</v>
      </c>
      <c r="B15" s="9" t="n">
        <v>50000</v>
      </c>
    </row>
    <row r="16" customFormat="false" ht="15" hidden="false" customHeight="true" outlineLevel="0" collapsed="false">
      <c r="A16" s="11" t="s">
        <v>77</v>
      </c>
      <c r="B16" s="31" t="n">
        <f aca="false">B15/B5</f>
        <v>308.546268827108</v>
      </c>
      <c r="D16" s="8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5" t="s">
        <v>79</v>
      </c>
    </row>
    <row r="3" customFormat="false" ht="15" hidden="false" customHeight="true" outlineLevel="0" collapsed="false">
      <c r="A3" s="6" t="s">
        <v>80</v>
      </c>
      <c r="B3" s="6" t="s">
        <v>81</v>
      </c>
      <c r="C3" s="6" t="s">
        <v>82</v>
      </c>
      <c r="D3" s="6" t="s">
        <v>83</v>
      </c>
    </row>
    <row r="4" customFormat="false" ht="15" hidden="false" customHeight="true" outlineLevel="0" collapsed="false">
      <c r="A4" s="34" t="s">
        <v>84</v>
      </c>
      <c r="B4" s="35" t="n">
        <v>60000</v>
      </c>
      <c r="C4" s="35" t="n">
        <v>120000</v>
      </c>
      <c r="D4" s="34" t="s">
        <v>85</v>
      </c>
    </row>
    <row r="5" customFormat="false" ht="15" hidden="false" customHeight="true" outlineLevel="0" collapsed="false">
      <c r="A5" s="34" t="s">
        <v>86</v>
      </c>
      <c r="B5" s="35" t="n">
        <v>40000</v>
      </c>
      <c r="C5" s="35" t="n">
        <v>90000</v>
      </c>
      <c r="D5" s="34" t="s">
        <v>87</v>
      </c>
    </row>
    <row r="6" customFormat="false" ht="15" hidden="false" customHeight="true" outlineLevel="0" collapsed="false">
      <c r="A6" s="34" t="s">
        <v>88</v>
      </c>
      <c r="B6" s="35" t="n">
        <v>15000</v>
      </c>
      <c r="C6" s="35" t="n">
        <v>35000</v>
      </c>
      <c r="D6" s="34" t="s">
        <v>89</v>
      </c>
    </row>
    <row r="7" customFormat="false" ht="15" hidden="false" customHeight="true" outlineLevel="0" collapsed="false">
      <c r="A7" s="34" t="s">
        <v>90</v>
      </c>
      <c r="B7" s="35" t="n">
        <v>40000</v>
      </c>
      <c r="C7" s="35" t="n">
        <v>90000</v>
      </c>
      <c r="D7" s="34" t="s">
        <v>91</v>
      </c>
    </row>
    <row r="8" customFormat="false" ht="15" hidden="false" customHeight="true" outlineLevel="0" collapsed="false">
      <c r="A8" s="34" t="s">
        <v>92</v>
      </c>
      <c r="B8" s="35" t="n">
        <v>15000</v>
      </c>
      <c r="C8" s="35" t="n">
        <v>30000</v>
      </c>
      <c r="D8" s="34"/>
    </row>
    <row r="9" customFormat="false" ht="15" hidden="false" customHeight="true" outlineLevel="0" collapsed="false">
      <c r="A9" s="34" t="s">
        <v>93</v>
      </c>
      <c r="B9" s="35" t="n">
        <v>10000</v>
      </c>
      <c r="C9" s="35" t="n">
        <v>20000</v>
      </c>
      <c r="D9" s="34" t="s">
        <v>94</v>
      </c>
    </row>
    <row r="10" customFormat="false" ht="15" hidden="false" customHeight="true" outlineLevel="0" collapsed="false">
      <c r="A10" s="34" t="s">
        <v>95</v>
      </c>
      <c r="B10" s="35" t="n">
        <v>60000</v>
      </c>
      <c r="C10" s="35" t="n">
        <v>120000</v>
      </c>
      <c r="D10" s="34" t="s">
        <v>96</v>
      </c>
    </row>
    <row r="11" customFormat="false" ht="15" hidden="false" customHeight="true" outlineLevel="0" collapsed="false">
      <c r="A11" s="11" t="s">
        <v>97</v>
      </c>
      <c r="B11" s="30" t="n">
        <f aca="false">SUM(B4:B10)</f>
        <v>240000</v>
      </c>
      <c r="C11" s="30" t="n">
        <f aca="false">SUM(C4:C10)</f>
        <v>505000</v>
      </c>
    </row>
    <row r="12" customFormat="false" ht="15" hidden="false" customHeight="true" outlineLevel="0" collapsed="false">
      <c r="A12" s="8" t="s">
        <v>98</v>
      </c>
      <c r="B12" s="10" t="n">
        <v>0.15</v>
      </c>
    </row>
    <row r="13" customFormat="false" ht="15" hidden="false" customHeight="true" outlineLevel="0" collapsed="false">
      <c r="A13" s="11" t="s">
        <v>99</v>
      </c>
      <c r="B13" s="30" t="n">
        <f aca="false">B11*B12</f>
        <v>36000</v>
      </c>
      <c r="C13" s="30" t="n">
        <f aca="false">C11*B12</f>
        <v>75750</v>
      </c>
    </row>
    <row r="14" customFormat="false" ht="15" hidden="false" customHeight="true" outlineLevel="0" collapsed="false">
      <c r="A14" s="7" t="s">
        <v>100</v>
      </c>
      <c r="B14" s="36" t="n">
        <f aca="false">B11+B13</f>
        <v>276000</v>
      </c>
      <c r="C14" s="36" t="n">
        <f aca="false">C11+C13</f>
        <v>580750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11" min="7" style="1" width="13"/>
    <col collapsed="false" customWidth="true" hidden="false" outlineLevel="0" max="12" min="12" style="1" width="11"/>
    <col collapsed="false" customWidth="true" hidden="false" outlineLevel="0" max="13" min="13" style="1" width="8"/>
  </cols>
  <sheetData>
    <row r="1" customFormat="false" ht="17.25" hidden="false" customHeight="true" outlineLevel="0" collapsed="false">
      <c r="A1" s="5" t="s">
        <v>101</v>
      </c>
    </row>
    <row r="2" customFormat="false" ht="15" hidden="false" customHeight="true" outlineLevel="0" collapsed="false">
      <c r="A2" s="16" t="s">
        <v>102</v>
      </c>
    </row>
    <row r="4" customFormat="false" ht="15" hidden="false" customHeight="true" outlineLevel="0" collapsed="false">
      <c r="A4" s="11" t="s">
        <v>103</v>
      </c>
    </row>
    <row r="5" customFormat="false" ht="15" hidden="false" customHeight="true" outlineLevel="0" collapsed="false">
      <c r="A5" s="8" t="s">
        <v>104</v>
      </c>
      <c r="B5" s="10" t="n">
        <v>0.15</v>
      </c>
    </row>
    <row r="6" customFormat="false" ht="15" hidden="false" customHeight="true" outlineLevel="0" collapsed="false">
      <c r="A6" s="8" t="s">
        <v>105</v>
      </c>
      <c r="B6" s="10" t="n">
        <v>0.2</v>
      </c>
    </row>
    <row r="7" customFormat="false" ht="15" hidden="false" customHeight="true" outlineLevel="0" collapsed="false">
      <c r="A7" s="8" t="s">
        <v>106</v>
      </c>
      <c r="B7" s="10" t="n">
        <v>0.3</v>
      </c>
    </row>
    <row r="8" customFormat="false" ht="15" hidden="false" customHeight="true" outlineLevel="0" collapsed="false">
      <c r="A8" s="8" t="s">
        <v>107</v>
      </c>
      <c r="B8" s="10" t="n">
        <v>0.15</v>
      </c>
    </row>
    <row r="9" customFormat="false" ht="15" hidden="false" customHeight="true" outlineLevel="0" collapsed="false">
      <c r="A9" s="8" t="s">
        <v>108</v>
      </c>
      <c r="B9" s="10" t="n">
        <v>0.2</v>
      </c>
    </row>
    <row r="10" customFormat="false" ht="15" hidden="false" customHeight="true" outlineLevel="0" collapsed="false">
      <c r="A10" s="11" t="s">
        <v>109</v>
      </c>
      <c r="B10" s="37" t="n">
        <f aca="false">B5+B6+B7+B8+B9</f>
        <v>1</v>
      </c>
    </row>
    <row r="12" customFormat="false" ht="31.5" hidden="false" customHeight="true" outlineLevel="0" collapsed="false">
      <c r="A12" s="17" t="s">
        <v>110</v>
      </c>
      <c r="B12" s="17" t="s">
        <v>111</v>
      </c>
      <c r="C12" s="17" t="s">
        <v>112</v>
      </c>
      <c r="D12" s="17" t="s">
        <v>113</v>
      </c>
      <c r="E12" s="17" t="s">
        <v>114</v>
      </c>
      <c r="F12" s="17" t="s">
        <v>115</v>
      </c>
      <c r="G12" s="17" t="s">
        <v>116</v>
      </c>
      <c r="H12" s="17" t="s">
        <v>117</v>
      </c>
      <c r="I12" s="17" t="s">
        <v>118</v>
      </c>
      <c r="J12" s="17" t="s">
        <v>119</v>
      </c>
      <c r="K12" s="17" t="s">
        <v>120</v>
      </c>
      <c r="L12" s="17" t="s">
        <v>121</v>
      </c>
      <c r="M12" s="17" t="s">
        <v>122</v>
      </c>
    </row>
    <row r="13" customFormat="false" ht="15" hidden="false" customHeight="true" outlineLevel="0" collapsed="false">
      <c r="A13" s="38" t="s">
        <v>123</v>
      </c>
      <c r="B13" s="39" t="n">
        <v>3.72</v>
      </c>
      <c r="C13" s="35" t="n">
        <v>2762</v>
      </c>
      <c r="D13" s="40" t="n">
        <v>4510</v>
      </c>
      <c r="E13" s="41" t="n">
        <v>0.3</v>
      </c>
      <c r="F13" s="39" t="n">
        <v>1</v>
      </c>
      <c r="G13" s="42" t="n">
        <f aca="false">(B13-MIN($B$13:$B$17))/(MAX($B$13:$B$17)-MIN($B$13:$B$17))</f>
        <v>0.214217098943324</v>
      </c>
      <c r="H13" s="42" t="n">
        <f aca="false">(C13-MIN($C$13:$C$17))/(MAX($C$13:$C$17)-MIN($C$13:$C$17))</f>
        <v>0</v>
      </c>
      <c r="I13" s="42" t="n">
        <f aca="false">(D13-MIN($D$13:$D$17))/(MAX($D$13:$D$17)-MIN($D$13:$D$17))</f>
        <v>1</v>
      </c>
      <c r="J13" s="42" t="n">
        <f aca="false">(E13-MIN($E$13:$E$17))/(MAX($E$13:$E$17)-MIN($E$13:$E$17))</f>
        <v>0</v>
      </c>
      <c r="K13" s="42" t="n">
        <f aca="false">F13</f>
        <v>1</v>
      </c>
      <c r="L13" s="43" t="n">
        <f aca="false">G13*$B$5+H13*$B$6+I13*$B$7+J13*$B$8+K13*$B$9</f>
        <v>0.532132564841499</v>
      </c>
      <c r="M13" s="18" t="n">
        <f aca="false">RANK(L13,$L$13:$L$17,0)</f>
        <v>1</v>
      </c>
    </row>
    <row r="14" customFormat="false" ht="15" hidden="false" customHeight="true" outlineLevel="0" collapsed="false">
      <c r="A14" s="44" t="s">
        <v>124</v>
      </c>
      <c r="B14" s="45" t="n">
        <v>4.17</v>
      </c>
      <c r="C14" s="46" t="n">
        <v>2839</v>
      </c>
      <c r="D14" s="47" t="n">
        <v>3273</v>
      </c>
      <c r="E14" s="48" t="n">
        <v>0.3</v>
      </c>
      <c r="F14" s="45" t="n">
        <v>1</v>
      </c>
      <c r="G14" s="49" t="n">
        <f aca="false">(B14-MIN($B$13:$B$17))/(MAX($B$13:$B$17)-MIN($B$13:$B$17))</f>
        <v>0.257444764649376</v>
      </c>
      <c r="H14" s="49" t="n">
        <f aca="false">(C14-MIN($C$13:$C$17))/(MAX($C$13:$C$17)-MIN($C$13:$C$17))</f>
        <v>0.0433558558558559</v>
      </c>
      <c r="I14" s="49" t="n">
        <f aca="false">(D14-MIN($D$13:$D$17))/(MAX($D$13:$D$17)-MIN($D$13:$D$17))</f>
        <v>0.657340720221607</v>
      </c>
      <c r="J14" s="49" t="n">
        <f aca="false">(E14-MIN($E$13:$E$17))/(MAX($E$13:$E$17)-MIN($E$13:$E$17))</f>
        <v>0</v>
      </c>
      <c r="K14" s="49" t="n">
        <f aca="false">F14</f>
        <v>1</v>
      </c>
      <c r="L14" s="50" t="n">
        <f aca="false">G14*$B$5+H14*$B$6+I14*$B$7+J14*$B$8+K14*$B$9</f>
        <v>0.44449010193506</v>
      </c>
      <c r="M14" s="24" t="n">
        <f aca="false">RANK(L14,$L$13:$L$17,0)</f>
        <v>3</v>
      </c>
    </row>
    <row r="15" customFormat="false" ht="15" hidden="false" customHeight="true" outlineLevel="0" collapsed="false">
      <c r="A15" s="38" t="s">
        <v>125</v>
      </c>
      <c r="B15" s="39" t="n">
        <v>3</v>
      </c>
      <c r="C15" s="35" t="n">
        <v>4538</v>
      </c>
      <c r="D15" s="40" t="n">
        <v>1200</v>
      </c>
      <c r="E15" s="41" t="n">
        <v>0.42</v>
      </c>
      <c r="F15" s="39" t="n">
        <v>0.3</v>
      </c>
      <c r="G15" s="42" t="n">
        <f aca="false">(B15-MIN($B$13:$B$17))/(MAX($B$13:$B$17)-MIN($B$13:$B$17))</f>
        <v>0.145052833813641</v>
      </c>
      <c r="H15" s="42" t="n">
        <f aca="false">(C15-MIN($C$13:$C$17))/(MAX($C$13:$C$17)-MIN($C$13:$C$17))</f>
        <v>1</v>
      </c>
      <c r="I15" s="42" t="n">
        <f aca="false">(D15-MIN($D$13:$D$17))/(MAX($D$13:$D$17)-MIN($D$13:$D$17))</f>
        <v>0.0831024930747922</v>
      </c>
      <c r="J15" s="42" t="n">
        <f aca="false">(E15-MIN($E$13:$E$17))/(MAX($E$13:$E$17)-MIN($E$13:$E$17))</f>
        <v>1</v>
      </c>
      <c r="K15" s="42" t="n">
        <f aca="false">F15</f>
        <v>0.3</v>
      </c>
      <c r="L15" s="43" t="n">
        <f aca="false">G15*$B$5+H15*$B$6+I15*$B$7+J15*$B$8+K15*$B$9</f>
        <v>0.456688672994484</v>
      </c>
      <c r="M15" s="18" t="n">
        <f aca="false">RANK(L15,$L$13:$L$17,0)</f>
        <v>2</v>
      </c>
    </row>
    <row r="16" customFormat="false" ht="15" hidden="false" customHeight="true" outlineLevel="0" collapsed="false">
      <c r="A16" s="44" t="s">
        <v>126</v>
      </c>
      <c r="B16" s="45" t="n">
        <v>11.9</v>
      </c>
      <c r="C16" s="46" t="n">
        <v>2956</v>
      </c>
      <c r="D16" s="47" t="n">
        <v>1500</v>
      </c>
      <c r="E16" s="48" t="n">
        <v>0.3</v>
      </c>
      <c r="F16" s="45" t="n">
        <v>0.5</v>
      </c>
      <c r="G16" s="49" t="n">
        <f aca="false">(B16-MIN($B$13:$B$17))/(MAX($B$13:$B$17)-MIN($B$13:$B$17))</f>
        <v>1</v>
      </c>
      <c r="H16" s="49" t="n">
        <f aca="false">(C16-MIN($C$13:$C$17))/(MAX($C$13:$C$17)-MIN($C$13:$C$17))</f>
        <v>0.109234234234234</v>
      </c>
      <c r="I16" s="49" t="n">
        <f aca="false">(D16-MIN($D$13:$D$17))/(MAX($D$13:$D$17)-MIN($D$13:$D$17))</f>
        <v>0.166204986149584</v>
      </c>
      <c r="J16" s="49" t="n">
        <f aca="false">(E16-MIN($E$13:$E$17))/(MAX($E$13:$E$17)-MIN($E$13:$E$17))</f>
        <v>0</v>
      </c>
      <c r="K16" s="49" t="n">
        <f aca="false">F16</f>
        <v>0.5</v>
      </c>
      <c r="L16" s="50" t="n">
        <f aca="false">G16*$B$5+H16*$B$6+I16*$B$7+J16*$B$8+K16*$B$9</f>
        <v>0.321708342691722</v>
      </c>
      <c r="M16" s="24" t="n">
        <f aca="false">RANK(L16,$L$13:$L$17,0)</f>
        <v>4</v>
      </c>
    </row>
    <row r="17" customFormat="false" ht="15" hidden="false" customHeight="true" outlineLevel="0" collapsed="false">
      <c r="A17" s="38" t="s">
        <v>127</v>
      </c>
      <c r="B17" s="39" t="n">
        <v>1.49</v>
      </c>
      <c r="C17" s="35" t="n">
        <v>2809</v>
      </c>
      <c r="D17" s="40" t="n">
        <v>900</v>
      </c>
      <c r="E17" s="41" t="n">
        <v>0.3</v>
      </c>
      <c r="F17" s="39" t="n">
        <v>1</v>
      </c>
      <c r="G17" s="42" t="n">
        <f aca="false">(B17-MIN($B$13:$B$17))/(MAX($B$13:$B$17)-MIN($B$13:$B$17))</f>
        <v>0</v>
      </c>
      <c r="H17" s="42" t="n">
        <f aca="false">(C17-MIN($C$13:$C$17))/(MAX($C$13:$C$17)-MIN($C$13:$C$17))</f>
        <v>0.026463963963964</v>
      </c>
      <c r="I17" s="42" t="n">
        <f aca="false">(D17-MIN($D$13:$D$17))/(MAX($D$13:$D$17)-MIN($D$13:$D$17))</f>
        <v>0</v>
      </c>
      <c r="J17" s="42" t="n">
        <f aca="false">(E17-MIN($E$13:$E$17))/(MAX($E$13:$E$17)-MIN($E$13:$E$17))</f>
        <v>0</v>
      </c>
      <c r="K17" s="42" t="n">
        <f aca="false">F17</f>
        <v>1</v>
      </c>
      <c r="L17" s="43" t="n">
        <f aca="false">G17*$B$5+H17*$B$6+I17*$B$7+J17*$B$8+K17*$B$9</f>
        <v>0.205292792792793</v>
      </c>
      <c r="M17" s="18" t="n">
        <f aca="false">RANK(L17,$L$13:$L$17,0)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7" min="4" style="0" width="18"/>
  </cols>
  <sheetData>
    <row r="1" customFormat="false" ht="17.35" hidden="false" customHeight="false" outlineLevel="0" collapsed="false">
      <c r="A1" s="51" t="s">
        <v>128</v>
      </c>
    </row>
    <row r="3" customFormat="false" ht="21.75" hidden="false" customHeight="true" outlineLevel="0" collapsed="false">
      <c r="A3" s="52" t="s">
        <v>129</v>
      </c>
      <c r="B3" s="52"/>
      <c r="C3" s="52"/>
    </row>
    <row r="4" customFormat="false" ht="15" hidden="false" customHeight="false" outlineLevel="0" collapsed="false">
      <c r="A4" s="53" t="s">
        <v>130</v>
      </c>
      <c r="B4" s="54" t="n">
        <v>60000</v>
      </c>
    </row>
    <row r="5" customFormat="false" ht="15" hidden="false" customHeight="false" outlineLevel="0" collapsed="false">
      <c r="A5" s="53" t="s">
        <v>131</v>
      </c>
      <c r="B5" s="55" t="n">
        <v>0.05</v>
      </c>
    </row>
    <row r="6" customFormat="false" ht="15" hidden="false" customHeight="false" outlineLevel="0" collapsed="false">
      <c r="A6" s="53" t="s">
        <v>132</v>
      </c>
      <c r="B6" s="55" t="n">
        <v>0.015</v>
      </c>
    </row>
    <row r="8" customFormat="false" ht="31.5" hidden="false" customHeight="true" outlineLevel="0" collapsed="false">
      <c r="A8" s="17" t="s">
        <v>43</v>
      </c>
      <c r="B8" s="17" t="s">
        <v>48</v>
      </c>
      <c r="C8" s="17" t="s">
        <v>133</v>
      </c>
      <c r="D8" s="17" t="s">
        <v>134</v>
      </c>
      <c r="E8" s="17" t="s">
        <v>135</v>
      </c>
      <c r="F8" s="17" t="s">
        <v>136</v>
      </c>
      <c r="G8" s="17" t="s">
        <v>137</v>
      </c>
    </row>
    <row r="9" customFormat="false" ht="15" hidden="false" customHeight="false" outlineLevel="0" collapsed="false">
      <c r="A9" s="56" t="str">
        <f aca="false">A5</f>
        <v>Royalty mensal (% da receita bruta)</v>
      </c>
      <c r="B9" s="57" t="n">
        <f aca="false">'Projecao 24 Meses'!F5</f>
        <v>56987.67125</v>
      </c>
      <c r="C9" s="57" t="n">
        <f aca="false">'Projecao 24 Meses'!N5</f>
        <v>2427.6575375</v>
      </c>
      <c r="D9" s="57" t="n">
        <f aca="false">'Projecao 24 Meses'!P5</f>
        <v>2427.6575375</v>
      </c>
      <c r="E9" s="57" t="n">
        <f aca="false">B9*($B$5+$B$6)</f>
        <v>3704.19863125</v>
      </c>
      <c r="F9" s="57" t="n">
        <f aca="false">C9-E9</f>
        <v>-1276.54109375</v>
      </c>
      <c r="G9" s="23" t="n">
        <f aca="false">F9</f>
        <v>-1276.54109375</v>
      </c>
    </row>
    <row r="10" customFormat="false" ht="15" hidden="false" customHeight="false" outlineLevel="0" collapsed="false">
      <c r="A10" s="58" t="str">
        <f aca="false">A6</f>
        <v>Fundo de marketing (% da receita bruta)</v>
      </c>
      <c r="B10" s="59" t="n">
        <f aca="false">'Projecao 24 Meses'!F6</f>
        <v>84268.8308375</v>
      </c>
      <c r="C10" s="59" t="n">
        <f aca="false">'Projecao 24 Meses'!N6</f>
        <v>7611.077859125</v>
      </c>
      <c r="D10" s="59" t="n">
        <f aca="false">'Projecao 24 Meses'!P6</f>
        <v>10038.735396625</v>
      </c>
      <c r="E10" s="59" t="n">
        <f aca="false">B10*($B$5+$B$6)</f>
        <v>5477.4740044375</v>
      </c>
      <c r="F10" s="59" t="n">
        <f aca="false">C10-E10</f>
        <v>2133.6038546875</v>
      </c>
      <c r="G10" s="29" t="n">
        <f aca="false">G9+F10</f>
        <v>857.062760937493</v>
      </c>
    </row>
    <row r="11" customFormat="false" ht="15" hidden="false" customHeight="false" outlineLevel="0" collapsed="false">
      <c r="A11" s="56" t="n">
        <f aca="false">A7</f>
        <v>0</v>
      </c>
      <c r="B11" s="57" t="n">
        <f aca="false">'Projecao 24 Meses'!F7</f>
        <v>109094.686062125</v>
      </c>
      <c r="C11" s="57" t="n">
        <f aca="false">'Projecao 24 Meses'!N7</f>
        <v>12327.9903518038</v>
      </c>
      <c r="D11" s="57" t="n">
        <f aca="false">'Projecao 24 Meses'!P7</f>
        <v>22366.7257484288</v>
      </c>
      <c r="E11" s="57" t="n">
        <f aca="false">B11*($B$5+$B$6)</f>
        <v>7091.15459403813</v>
      </c>
      <c r="F11" s="57" t="n">
        <f aca="false">C11-E11</f>
        <v>5236.83575776564</v>
      </c>
      <c r="G11" s="23" t="n">
        <f aca="false">G10+F11</f>
        <v>6093.89851870313</v>
      </c>
    </row>
    <row r="12" customFormat="false" ht="15" hidden="false" customHeight="false" outlineLevel="0" collapsed="false">
      <c r="A12" s="58" t="str">
        <f aca="false">A8</f>
        <v>Mês</v>
      </c>
      <c r="B12" s="59" t="n">
        <f aca="false">'Projecao 24 Meses'!F8</f>
        <v>131686.214316534</v>
      </c>
      <c r="C12" s="59" t="n">
        <f aca="false">'Projecao 24 Meses'!N8</f>
        <v>16620.3807201414</v>
      </c>
      <c r="D12" s="59" t="n">
        <f aca="false">'Projecao 24 Meses'!P8</f>
        <v>38987.1064685702</v>
      </c>
      <c r="E12" s="59" t="n">
        <f aca="false">B12*($B$5+$B$6)</f>
        <v>8559.60393057469</v>
      </c>
      <c r="F12" s="59" t="n">
        <f aca="false">C12-E12</f>
        <v>8060.77678956671</v>
      </c>
      <c r="G12" s="29" t="n">
        <f aca="false">G11+F12</f>
        <v>14154.6753082698</v>
      </c>
    </row>
    <row r="13" customFormat="false" ht="15" hidden="false" customHeight="false" outlineLevel="0" collapsed="false">
      <c r="A13" s="56" t="str">
        <f aca="false">A9</f>
        <v>Royalty mensal (% da receita bruta)</v>
      </c>
      <c r="B13" s="57" t="n">
        <f aca="false">'Projecao 24 Meses'!F9</f>
        <v>152244.505028046</v>
      </c>
      <c r="C13" s="57" t="n">
        <f aca="false">'Projecao 24 Meses'!N9</f>
        <v>20526.4559553287</v>
      </c>
      <c r="D13" s="57" t="n">
        <f aca="false">'Projecao 24 Meses'!P9</f>
        <v>59513.5624238988</v>
      </c>
      <c r="E13" s="57" t="n">
        <f aca="false">B13*($B$5+$B$6)</f>
        <v>9895.89282682297</v>
      </c>
      <c r="F13" s="57" t="n">
        <f aca="false">C13-E13</f>
        <v>10630.5631285057</v>
      </c>
      <c r="G13" s="23" t="n">
        <f aca="false">G12+F13</f>
        <v>24785.2384367755</v>
      </c>
    </row>
    <row r="14" customFormat="false" ht="15" hidden="false" customHeight="false" outlineLevel="0" collapsed="false">
      <c r="A14" s="58" t="str">
        <f aca="false">A10</f>
        <v>Fundo de marketing (% da receita bruta)</v>
      </c>
      <c r="B14" s="59" t="n">
        <f aca="false">'Projecao 24 Meses'!F10</f>
        <v>170952.549575522</v>
      </c>
      <c r="C14" s="59" t="n">
        <f aca="false">'Projecao 24 Meses'!N10</f>
        <v>24080.9844193491</v>
      </c>
      <c r="D14" s="59" t="n">
        <f aca="false">'Projecao 24 Meses'!P10</f>
        <v>83594.546843248</v>
      </c>
      <c r="E14" s="59" t="n">
        <f aca="false">B14*($B$5+$B$6)</f>
        <v>11111.9157224089</v>
      </c>
      <c r="F14" s="59" t="n">
        <f aca="false">C14-E14</f>
        <v>12969.0686969402</v>
      </c>
      <c r="G14" s="29" t="n">
        <f aca="false">G13+F14</f>
        <v>37754.3071337158</v>
      </c>
    </row>
    <row r="15" customFormat="false" ht="15" hidden="false" customHeight="false" outlineLevel="0" collapsed="false">
      <c r="A15" s="56" t="n">
        <f aca="false">A11</f>
        <v>0</v>
      </c>
      <c r="B15" s="57" t="n">
        <f aca="false">'Projecao 24 Meses'!F11</f>
        <v>214985.245113725</v>
      </c>
      <c r="C15" s="57" t="n">
        <f aca="false">'Projecao 24 Meses'!N11</f>
        <v>25447.1965716077</v>
      </c>
      <c r="D15" s="57" t="n">
        <f aca="false">'Projecao 24 Meses'!P11</f>
        <v>109041.743414856</v>
      </c>
      <c r="E15" s="57" t="n">
        <f aca="false">B15*($B$5+$B$6)</f>
        <v>13974.0409323921</v>
      </c>
      <c r="F15" s="57" t="n">
        <f aca="false">C15-E15</f>
        <v>11473.1556392156</v>
      </c>
      <c r="G15" s="23" t="n">
        <f aca="false">G14+F15</f>
        <v>49227.4627729313</v>
      </c>
    </row>
    <row r="16" customFormat="false" ht="15" hidden="false" customHeight="false" outlineLevel="0" collapsed="false">
      <c r="A16" s="58" t="str">
        <f aca="false">A12</f>
        <v>Mês</v>
      </c>
      <c r="B16" s="59" t="n">
        <f aca="false">'Projecao 24 Meses'!F12</f>
        <v>255054.998053489</v>
      </c>
      <c r="C16" s="59" t="n">
        <f aca="false">'Projecao 24 Meses'!N12</f>
        <v>33060.449630163</v>
      </c>
      <c r="D16" s="59" t="n">
        <f aca="false">'Projecao 24 Meses'!P12</f>
        <v>142102.193045019</v>
      </c>
      <c r="E16" s="59" t="n">
        <f aca="false">B16*($B$5+$B$6)</f>
        <v>16578.5748734768</v>
      </c>
      <c r="F16" s="59" t="n">
        <f aca="false">C16-E16</f>
        <v>16481.8747566862</v>
      </c>
      <c r="G16" s="29" t="n">
        <f aca="false">G15+F16</f>
        <v>65709.3375296175</v>
      </c>
    </row>
    <row r="17" customFormat="false" ht="15" hidden="false" customHeight="false" outlineLevel="0" collapsed="false">
      <c r="A17" s="56" t="str">
        <f aca="false">A13</f>
        <v>Royalty mensal (% da receita bruta)</v>
      </c>
      <c r="B17" s="57" t="n">
        <f aca="false">'Projecao 24 Meses'!F13</f>
        <v>291518.473228675</v>
      </c>
      <c r="C17" s="57" t="n">
        <f aca="false">'Projecao 24 Meses'!N13</f>
        <v>39988.5099134483</v>
      </c>
      <c r="D17" s="57" t="n">
        <f aca="false">'Projecao 24 Meses'!P13</f>
        <v>182090.702958467</v>
      </c>
      <c r="E17" s="57" t="n">
        <f aca="false">B17*($B$5+$B$6)</f>
        <v>18948.7007598639</v>
      </c>
      <c r="F17" s="57" t="n">
        <f aca="false">C17-E17</f>
        <v>21039.8091535844</v>
      </c>
      <c r="G17" s="23" t="n">
        <f aca="false">G16+F17</f>
        <v>86749.1466832019</v>
      </c>
    </row>
    <row r="18" customFormat="false" ht="15" hidden="false" customHeight="false" outlineLevel="0" collapsed="false">
      <c r="A18" s="58" t="str">
        <f aca="false">A14</f>
        <v>Fundo de marketing (% da receita bruta)</v>
      </c>
      <c r="B18" s="59" t="n">
        <f aca="false">'Projecao 24 Meses'!F14</f>
        <v>324700.235638095</v>
      </c>
      <c r="C18" s="59" t="n">
        <f aca="false">'Projecao 24 Meses'!N14</f>
        <v>46293.044771238</v>
      </c>
      <c r="D18" s="59" t="n">
        <f aca="false">'Projecao 24 Meses'!P14</f>
        <v>228383.747729705</v>
      </c>
      <c r="E18" s="59" t="n">
        <f aca="false">B18*($B$5+$B$6)</f>
        <v>21105.5153164762</v>
      </c>
      <c r="F18" s="59" t="n">
        <f aca="false">C18-E18</f>
        <v>25187.5294547618</v>
      </c>
      <c r="G18" s="29" t="n">
        <f aca="false">G17+F18</f>
        <v>111936.676137964</v>
      </c>
    </row>
    <row r="19" customFormat="false" ht="15" hidden="false" customHeight="false" outlineLevel="0" collapsed="false">
      <c r="A19" s="56" t="n">
        <f aca="false">A15</f>
        <v>0</v>
      </c>
      <c r="B19" s="57" t="n">
        <f aca="false">'Projecao 24 Meses'!F15</f>
        <v>354895.639430666</v>
      </c>
      <c r="C19" s="57" t="n">
        <f aca="false">'Projecao 24 Meses'!N15</f>
        <v>52030.1714918265</v>
      </c>
      <c r="D19" s="57" t="n">
        <f aca="false">'Projecao 24 Meses'!P15</f>
        <v>280413.919221532</v>
      </c>
      <c r="E19" s="57" t="n">
        <f aca="false">B19*($B$5+$B$6)</f>
        <v>23068.2165629933</v>
      </c>
      <c r="F19" s="57" t="n">
        <f aca="false">C19-E19</f>
        <v>28961.9549288332</v>
      </c>
      <c r="G19" s="23" t="n">
        <f aca="false">G18+F19</f>
        <v>140898.631066797</v>
      </c>
    </row>
    <row r="20" customFormat="false" ht="15" hidden="false" customHeight="false" outlineLevel="0" collapsed="false">
      <c r="A20" s="58" t="str">
        <f aca="false">A16</f>
        <v>Mês</v>
      </c>
      <c r="B20" s="59" t="n">
        <f aca="false">'Projecao 24 Meses'!F16</f>
        <v>382373.456881906</v>
      </c>
      <c r="C20" s="59" t="n">
        <f aca="false">'Projecao 24 Meses'!N16</f>
        <v>57250.9568075622</v>
      </c>
      <c r="D20" s="59" t="n">
        <f aca="false">'Projecao 24 Meses'!P16</f>
        <v>337664.876029094</v>
      </c>
      <c r="E20" s="59" t="n">
        <f aca="false">B20*($B$5+$B$6)</f>
        <v>24854.2746973239</v>
      </c>
      <c r="F20" s="59" t="n">
        <f aca="false">C20-E20</f>
        <v>32396.6821102383</v>
      </c>
      <c r="G20" s="29" t="n">
        <f aca="false">G19+F20</f>
        <v>173295.313177035</v>
      </c>
    </row>
    <row r="21" customFormat="false" ht="15" hidden="false" customHeight="false" outlineLevel="0" collapsed="false">
      <c r="A21" s="56" t="str">
        <f aca="false">A17</f>
        <v>Royalty mensal (% da receita bruta)</v>
      </c>
      <c r="B21" s="57" t="n">
        <f aca="false">'Projecao 24 Meses'!F17</f>
        <v>407378.270762535</v>
      </c>
      <c r="C21" s="57" t="n">
        <f aca="false">'Projecao 24 Meses'!N17</f>
        <v>62001.8714448815</v>
      </c>
      <c r="D21" s="57" t="n">
        <f aca="false">'Projecao 24 Meses'!P17</f>
        <v>399666.747473975</v>
      </c>
      <c r="E21" s="57" t="n">
        <f aca="false">B21*($B$5+$B$6)</f>
        <v>26479.5875995647</v>
      </c>
      <c r="F21" s="57" t="n">
        <f aca="false">C21-E21</f>
        <v>35522.2838453168</v>
      </c>
      <c r="G21" s="23" t="n">
        <f aca="false">G20+F21</f>
        <v>208817.597022352</v>
      </c>
    </row>
    <row r="22" customFormat="false" ht="15" hidden="false" customHeight="false" outlineLevel="0" collapsed="false">
      <c r="A22" s="58" t="str">
        <f aca="false">A18</f>
        <v>Fundo de marketing (% da receita bruta)</v>
      </c>
      <c r="B22" s="59" t="n">
        <f aca="false">'Projecao 24 Meses'!F18</f>
        <v>430132.651393906</v>
      </c>
      <c r="C22" s="59" t="n">
        <f aca="false">'Projecao 24 Meses'!N18</f>
        <v>66325.2037648422</v>
      </c>
      <c r="D22" s="59" t="n">
        <f aca="false">'Projecao 24 Meses'!P18</f>
        <v>465991.951238817</v>
      </c>
      <c r="E22" s="59" t="n">
        <f aca="false">B22*($B$5+$B$6)</f>
        <v>27958.6223406039</v>
      </c>
      <c r="F22" s="59" t="n">
        <f aca="false">C22-E22</f>
        <v>38366.5814242383</v>
      </c>
      <c r="G22" s="29" t="n">
        <f aca="false">G21+F22</f>
        <v>247184.17844659</v>
      </c>
    </row>
    <row r="23" customFormat="false" ht="15" hidden="false" customHeight="false" outlineLevel="0" collapsed="false">
      <c r="A23" s="56" t="n">
        <f aca="false">A19</f>
        <v>0</v>
      </c>
      <c r="B23" s="57" t="n">
        <f aca="false">'Projecao 24 Meses'!F19</f>
        <v>450839.137768455</v>
      </c>
      <c r="C23" s="57" t="n">
        <f aca="false">'Projecao 24 Meses'!N19</f>
        <v>70259.4361760064</v>
      </c>
      <c r="D23" s="57" t="n">
        <f aca="false">'Projecao 24 Meses'!P19</f>
        <v>536251.387414824</v>
      </c>
      <c r="E23" s="57" t="n">
        <f aca="false">B23*($B$5+$B$6)</f>
        <v>29304.5439549496</v>
      </c>
      <c r="F23" s="57" t="n">
        <f aca="false">C23-E23</f>
        <v>40954.8922210568</v>
      </c>
      <c r="G23" s="23" t="n">
        <f aca="false">G22+F23</f>
        <v>288139.070667647</v>
      </c>
    </row>
    <row r="24" customFormat="false" ht="15" hidden="false" customHeight="false" outlineLevel="0" collapsed="false">
      <c r="A24" s="58" t="str">
        <f aca="false">A20</f>
        <v>Mês</v>
      </c>
      <c r="B24" s="59" t="n">
        <f aca="false">'Projecao 24 Meses'!F20</f>
        <v>469682.040369294</v>
      </c>
      <c r="C24" s="59" t="n">
        <f aca="false">'Projecao 24 Meses'!N20</f>
        <v>73839.5876701658</v>
      </c>
      <c r="D24" s="59" t="n">
        <f aca="false">'Projecao 24 Meses'!P20</f>
        <v>610090.97508499</v>
      </c>
      <c r="E24" s="59" t="n">
        <f aca="false">B24*($B$5+$B$6)</f>
        <v>30529.3326240041</v>
      </c>
      <c r="F24" s="59" t="n">
        <f aca="false">C24-E24</f>
        <v>43310.2550461617</v>
      </c>
      <c r="G24" s="29" t="n">
        <f aca="false">G23+F24</f>
        <v>331449.325713809</v>
      </c>
    </row>
    <row r="25" customFormat="false" ht="15" hidden="false" customHeight="false" outlineLevel="0" collapsed="false">
      <c r="A25" s="56" t="str">
        <f aca="false">A21</f>
        <v>Royalty mensal (% da receita bruta)</v>
      </c>
      <c r="B25" s="57" t="n">
        <f aca="false">'Projecao 24 Meses'!F21</f>
        <v>486829.081736058</v>
      </c>
      <c r="C25" s="57" t="n">
        <f aca="false">'Projecao 24 Meses'!N21</f>
        <v>77097.5255298509</v>
      </c>
      <c r="D25" s="57" t="n">
        <f aca="false">'Projecao 24 Meses'!P21</f>
        <v>687188.500614841</v>
      </c>
      <c r="E25" s="57" t="n">
        <f aca="false">B25*($B$5+$B$6)</f>
        <v>31643.8903128437</v>
      </c>
      <c r="F25" s="57" t="n">
        <f aca="false">C25-E25</f>
        <v>45453.6352170072</v>
      </c>
      <c r="G25" s="23" t="n">
        <f aca="false">G24+F25</f>
        <v>376902.960930816</v>
      </c>
    </row>
    <row r="26" customFormat="false" ht="15" hidden="false" customHeight="false" outlineLevel="0" collapsed="false">
      <c r="A26" s="58" t="str">
        <f aca="false">A22</f>
        <v>Fundo de marketing (% da receita bruta)</v>
      </c>
      <c r="B26" s="59" t="n">
        <f aca="false">'Projecao 24 Meses'!F22</f>
        <v>502432.889379812</v>
      </c>
      <c r="C26" s="59" t="n">
        <f aca="false">'Projecao 24 Meses'!N22</f>
        <v>80062.2489821643</v>
      </c>
      <c r="D26" s="59" t="n">
        <f aca="false">'Projecao 24 Meses'!P22</f>
        <v>767250.749597005</v>
      </c>
      <c r="E26" s="59" t="n">
        <f aca="false">B26*($B$5+$B$6)</f>
        <v>32658.1378096878</v>
      </c>
      <c r="F26" s="59" t="n">
        <f aca="false">C26-E26</f>
        <v>47404.1111724765</v>
      </c>
      <c r="G26" s="29" t="n">
        <f aca="false">G25+F26</f>
        <v>424307.072103293</v>
      </c>
    </row>
    <row r="27" customFormat="false" ht="15" hidden="false" customHeight="false" outlineLevel="0" collapsed="false">
      <c r="A27" s="56" t="n">
        <f aca="false">A23</f>
        <v>0</v>
      </c>
      <c r="B27" s="57" t="n">
        <f aca="false">'Projecao 24 Meses'!F23</f>
        <v>516632.354335629</v>
      </c>
      <c r="C27" s="57" t="n">
        <f aca="false">'Projecao 24 Meses'!N23</f>
        <v>82760.1473237695</v>
      </c>
      <c r="D27" s="57" t="n">
        <f aca="false">'Projecao 24 Meses'!P23</f>
        <v>850010.896920774</v>
      </c>
      <c r="E27" s="57" t="n">
        <f aca="false">B27*($B$5+$B$6)</f>
        <v>33581.1030318159</v>
      </c>
      <c r="F27" s="57" t="n">
        <f aca="false">C27-E27</f>
        <v>49179.0442919536</v>
      </c>
      <c r="G27" s="23" t="n">
        <f aca="false">G26+F27</f>
        <v>473486.116395246</v>
      </c>
    </row>
    <row r="28" customFormat="false" ht="15" hidden="false" customHeight="false" outlineLevel="0" collapsed="false">
      <c r="A28" s="58" t="str">
        <f aca="false">A24</f>
        <v>Mês</v>
      </c>
      <c r="B28" s="59" t="n">
        <f aca="false">'Projecao 24 Meses'!F24</f>
        <v>529553.867445423</v>
      </c>
      <c r="C28" s="59" t="n">
        <f aca="false">'Projecao 24 Meses'!N24</f>
        <v>85215.2348146303</v>
      </c>
      <c r="D28" s="59" t="n">
        <f aca="false">'Projecao 24 Meses'!P24</f>
        <v>935226.131735405</v>
      </c>
      <c r="E28" s="59" t="n">
        <f aca="false">B28*($B$5+$B$6)</f>
        <v>34421.0013839525</v>
      </c>
      <c r="F28" s="59" t="n">
        <f aca="false">C28-E28</f>
        <v>50794.2334306778</v>
      </c>
      <c r="G28" s="29" t="n">
        <f aca="false">G27+F28</f>
        <v>524280.349825924</v>
      </c>
    </row>
    <row r="29" customFormat="false" ht="15" hidden="false" customHeight="false" outlineLevel="0" collapsed="false">
      <c r="A29" s="56" t="str">
        <f aca="false">A25</f>
        <v>Royalty mensal (% da receita bruta)</v>
      </c>
      <c r="B29" s="57" t="n">
        <f aca="false">'Projecao 24 Meses'!F25</f>
        <v>541312.444375335</v>
      </c>
      <c r="C29" s="57" t="n">
        <f aca="false">'Projecao 24 Meses'!N25</f>
        <v>87449.3644313136</v>
      </c>
      <c r="D29" s="57" t="n">
        <f aca="false">'Projecao 24 Meses'!P25</f>
        <v>1022675.49616672</v>
      </c>
      <c r="E29" s="57" t="n">
        <f aca="false">B29*($B$5+$B$6)</f>
        <v>35185.3088843968</v>
      </c>
      <c r="F29" s="57" t="n">
        <f aca="false">C29-E29</f>
        <v>52264.0555469168</v>
      </c>
      <c r="G29" s="23" t="n">
        <f aca="false">G28+F29</f>
        <v>576544.405372841</v>
      </c>
    </row>
    <row r="30" customFormat="false" ht="15" hidden="false" customHeight="false" outlineLevel="0" collapsed="false">
      <c r="A30" s="58" t="str">
        <f aca="false">A26</f>
        <v>Fundo de marketing (% da receita bruta)</v>
      </c>
      <c r="B30" s="59" t="n">
        <f aca="false">'Projecao 24 Meses'!F26</f>
        <v>552012.749381554</v>
      </c>
      <c r="C30" s="59" t="n">
        <f aca="false">'Projecao 24 Meses'!N26</f>
        <v>89482.4223824954</v>
      </c>
      <c r="D30" s="59" t="n">
        <f aca="false">'Projecao 24 Meses'!P26</f>
        <v>1112157.91854921</v>
      </c>
      <c r="E30" s="59" t="n">
        <f aca="false">B30*($B$5+$B$6)</f>
        <v>35880.828709801</v>
      </c>
      <c r="F30" s="59" t="n">
        <f aca="false">C30-E30</f>
        <v>53601.5936726943</v>
      </c>
      <c r="G30" s="29" t="n">
        <f aca="false">G29+F30</f>
        <v>630145.999045535</v>
      </c>
    </row>
    <row r="31" customFormat="false" ht="15" hidden="false" customHeight="false" outlineLevel="0" collapsed="false">
      <c r="A31" s="56" t="n">
        <f aca="false">A27</f>
        <v>0</v>
      </c>
      <c r="B31" s="57" t="n">
        <f aca="false">'Projecao 24 Meses'!F27</f>
        <v>561750.026937214</v>
      </c>
      <c r="C31" s="57" t="n">
        <f aca="false">'Projecao 24 Meses'!N27</f>
        <v>91332.5051180708</v>
      </c>
      <c r="D31" s="57" t="n">
        <f aca="false">'Projecao 24 Meses'!P27</f>
        <v>1203490.42366728</v>
      </c>
      <c r="E31" s="57" t="n">
        <f aca="false">B31*($B$5+$B$6)</f>
        <v>36513.7517509189</v>
      </c>
      <c r="F31" s="57" t="n">
        <f aca="false">C31-E31</f>
        <v>54818.7533671518</v>
      </c>
      <c r="G31" s="23" t="n">
        <f aca="false">G30+F31</f>
        <v>684964.752412687</v>
      </c>
    </row>
    <row r="32" customFormat="false" ht="15" hidden="false" customHeight="false" outlineLevel="0" collapsed="false">
      <c r="A32" s="58" t="str">
        <f aca="false">A28</f>
        <v>Mês</v>
      </c>
      <c r="B32" s="59" t="n">
        <f aca="false">'Projecao 24 Meses'!F28</f>
        <v>570610.949512865</v>
      </c>
      <c r="C32" s="59" t="n">
        <f aca="false">'Projecao 24 Meses'!N28</f>
        <v>93016.0804074444</v>
      </c>
      <c r="D32" s="59" t="n">
        <f aca="false">'Projecao 24 Meses'!P28</f>
        <v>1296506.50407473</v>
      </c>
      <c r="E32" s="59" t="n">
        <f aca="false">B32*($B$5+$B$6)</f>
        <v>37089.7117183362</v>
      </c>
      <c r="F32" s="59" t="n">
        <f aca="false">C32-E32</f>
        <v>55926.3686891082</v>
      </c>
      <c r="G32" s="29" t="n">
        <f aca="false">G31+F32</f>
        <v>740891.121101795</v>
      </c>
    </row>
    <row r="34" customFormat="false" ht="21.75" hidden="false" customHeight="true" outlineLevel="0" collapsed="false">
      <c r="A34" s="52" t="s">
        <v>138</v>
      </c>
      <c r="B34" s="52"/>
      <c r="C34" s="52"/>
      <c r="D34" s="52"/>
    </row>
    <row r="35" customFormat="false" ht="15" hidden="false" customHeight="false" outlineLevel="0" collapsed="false">
      <c r="A35" s="60" t="s">
        <v>139</v>
      </c>
      <c r="B35" s="61" t="n">
        <f aca="false">IFERROR(MATCH(TRUE(),INDEX(D9:D32&gt;='Investimento Inicial'!$B$14,0),0),"")</f>
        <v>11</v>
      </c>
      <c r="C35" s="62" t="n">
        <f aca="false">IFERROR(B35-1+IFERROR(('Investimento Inicial'!$B$14-(IF(B35=1,0,INDEX(D9:D32,B35-1))))/((INDEX(D9:D32,B35))-(IF(B35=1,0,INDEX(D9:D32,B35-1)))),0),"não atingido em 24 meses")</f>
        <v>10.9151661604224</v>
      </c>
    </row>
    <row r="36" customFormat="false" ht="15" hidden="false" customHeight="false" outlineLevel="0" collapsed="false">
      <c r="A36" s="60" t="s">
        <v>140</v>
      </c>
      <c r="B36" s="61" t="n">
        <f aca="false">IFERROR(MATCH(TRUE(),INDEX(D9:D32&gt;='Investimento Inicial'!$C$14,0),0),"")</f>
        <v>16</v>
      </c>
      <c r="C36" s="62" t="n">
        <f aca="false">IFERROR(B36-1+IFERROR(('Investimento Inicial'!$C$14-(IF(B36=1,0,INDEX(D9:D32,B36-1))))/((INDEX(D9:D32,B36))-(IF(B36=1,0,INDEX(D9:D32,B36-1)))),0),"não atingido em 24 meses")</f>
        <v>15.6026389635861</v>
      </c>
    </row>
    <row r="37" customFormat="false" ht="15" hidden="false" customHeight="false" outlineLevel="0" collapsed="false">
      <c r="A37" s="60" t="s">
        <v>141</v>
      </c>
      <c r="B37" s="61" t="n">
        <f aca="false">IFERROR(MATCH(TRUE(),INDEX(G9:G32&gt;='Investimento Inicial'!$B$14,0),0),"")</f>
        <v>15</v>
      </c>
      <c r="C37" s="62" t="n">
        <f aca="false">IFERROR(B37-1+IFERROR(('Investimento Inicial'!$B$14-(IF(B37=1,0,INDEX(G9:G32,B37-1))))/((INDEX(G9:G32,B37))-(IF(B37=1,0,INDEX(G9:G32,B37-1)))),0),"não atingido em 24 meses")</f>
        <v>14.7035990083401</v>
      </c>
    </row>
    <row r="38" customFormat="false" ht="15" hidden="false" customHeight="false" outlineLevel="0" collapsed="false">
      <c r="A38" s="60" t="s">
        <v>142</v>
      </c>
      <c r="B38" s="61" t="n">
        <f aca="false">IFERROR(MATCH(TRUE(),INDEX(G9:G32&gt;='Investimento Inicial'!$C$14,0),0),"")</f>
        <v>22</v>
      </c>
      <c r="C38" s="62" t="n">
        <f aca="false">IFERROR(B38-1+IFERROR(('Investimento Inicial'!$C$14-(IF(B38=1,0,INDEX(G9:G32,B38-1))))/((INDEX(G9:G32,B38))-(IF(B38=1,0,INDEX(G9:G32,B38-1)))),0),"não atingido em 24 meses")</f>
        <v>21.0784602534925</v>
      </c>
    </row>
    <row r="40" customFormat="false" ht="15" hidden="false" customHeight="false" outlineLevel="0" collapsed="false">
      <c r="A40" s="63" t="s">
        <v>143</v>
      </c>
    </row>
    <row r="43" customFormat="false" ht="21.75" hidden="false" customHeight="true" outlineLevel="0" collapsed="false">
      <c r="A43" s="52" t="s">
        <v>144</v>
      </c>
      <c r="B43" s="52"/>
      <c r="C43" s="52"/>
      <c r="D43" s="52"/>
    </row>
    <row r="44" customFormat="false" ht="15" hidden="false" customHeight="false" outlineLevel="0" collapsed="false">
      <c r="A44" s="60" t="s">
        <v>145</v>
      </c>
      <c r="B44" s="64" t="n">
        <f aca="false">$B$4</f>
        <v>60000</v>
      </c>
    </row>
    <row r="45" customFormat="false" ht="15" hidden="false" customHeight="false" outlineLevel="0" collapsed="false">
      <c r="A45" s="60" t="s">
        <v>146</v>
      </c>
      <c r="B45" s="64" t="n">
        <f aca="false">E20</f>
        <v>24854.2746973239</v>
      </c>
    </row>
    <row r="46" customFormat="false" ht="15" hidden="false" customHeight="false" outlineLevel="0" collapsed="false">
      <c r="A46" s="60" t="s">
        <v>147</v>
      </c>
      <c r="B46" s="64" t="n">
        <f aca="false">E32</f>
        <v>37089.7117183362</v>
      </c>
    </row>
    <row r="47" customFormat="false" ht="15" hidden="false" customHeight="false" outlineLevel="0" collapsed="false">
      <c r="A47" s="60" t="s">
        <v>148</v>
      </c>
      <c r="B47" s="64" t="n">
        <f aca="false">$B$4+SUM(E9:E32)</f>
        <v>615615.382972934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2026-08-06T04:59:36Z</dcterms:created>
  <dc:creator>openpyxl</dc:creator>
  <dc:description/>
  <dc:language>en-US</dc:language>
  <cp:lastModifiedBy/>
  <dcterms:modified xsi:type="dcterms:W3CDTF">2026-08-11T02:26:11Z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